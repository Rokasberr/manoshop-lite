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Re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0231D"/>
      </patternFill>
    </fill>
    <fill>
      <patternFill patternType="solid">
        <fgColor rgb="00E8EFE8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CE5DD"/>
      </left>
      <right style="thin">
        <color rgb="00DCE5DD"/>
      </right>
      <top style="thin">
        <color rgb="00DCE5DD"/>
      </top>
      <bottom style="thin">
        <color rgb="00DCE5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26" customHeight="1">
      <c r="A1" s="1" t="inlineStr">
        <is>
          <t>StillOak Studio</t>
        </is>
      </c>
      <c r="B1" s="1" t="inlineStr">
        <is>
          <t>Business Idea Validation Kit</t>
        </is>
      </c>
      <c r="C1" s="1" t="inlineStr">
        <is>
          <t>Verslas</t>
        </is>
      </c>
      <c r="D1" s="1" t="inlineStr">
        <is>
          <t>Verslas</t>
        </is>
      </c>
    </row>
    <row r="2">
      <c r="A2" s="2" t="inlineStr">
        <is>
          <t>Kas tai yra</t>
        </is>
      </c>
      <c r="B2" s="2" t="inlineStr">
        <is>
          <t>Verslo id?jos vertinimo sistema paklausai, kainodarai, ka?tams, rizikai ir kitam testavimo ?ingsniui.</t>
        </is>
      </c>
      <c r="C2" s="2" t="inlineStr"/>
      <c r="D2" s="2" t="inlineStr"/>
    </row>
    <row r="3">
      <c r="A3" s="2" t="inlineStr">
        <is>
          <t>Naudojimo eiga</t>
        </is>
      </c>
      <c r="B3" s="2" t="inlineStr">
        <is>
          <t>1. Perskaitykite PDF gid?  2. U?pildykite Inputs lap?  3. Per?i?r?kite Dashboard  4. U?ra?ykite kit? veiksm?</t>
        </is>
      </c>
      <c r="C3" s="2" t="inlineStr"/>
      <c r="D3" s="2" t="inlineStr"/>
    </row>
    <row r="4">
      <c r="A4" s="3" t="inlineStr">
        <is>
          <t>Failo versija</t>
        </is>
      </c>
      <c r="B4" s="3" t="inlineStr">
        <is>
          <t>1.0</t>
        </is>
      </c>
      <c r="C4" s="3" t="inlineStr">
        <is>
          <t>Atnaujinta</t>
        </is>
      </c>
      <c r="D4" s="3" t="inlineStr">
        <is>
          <t>2026</t>
        </is>
      </c>
    </row>
    <row r="5">
      <c r="A5" s="3" t="inlineStr">
        <is>
          <t>Pastaba</t>
        </is>
      </c>
      <c r="B5" s="3" t="inlineStr">
        <is>
          <t>Geltonai pa?ym?ti laukai skirti pildymui. Formuli? laukai automati?kai atnaujina dashboard.</t>
        </is>
      </c>
      <c r="C5" s="3" t="inlineStr"/>
      <c r="D5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26" customHeight="1">
      <c r="A1" s="1" t="inlineStr">
        <is>
          <t>Kriterijus</t>
        </is>
      </c>
      <c r="B1" s="1" t="inlineStr">
        <is>
          <t>Balas / reik?m?</t>
        </is>
      </c>
    </row>
    <row r="2">
      <c r="A2" s="3" t="inlineStr">
        <is>
          <t>Market score</t>
        </is>
      </c>
      <c r="B2" s="4" t="n">
        <v>4</v>
      </c>
    </row>
    <row r="3">
      <c r="A3" s="3" t="inlineStr">
        <is>
          <t>Pricing score</t>
        </is>
      </c>
      <c r="B3" s="4" t="n">
        <v>4</v>
      </c>
    </row>
    <row r="4">
      <c r="A4" s="3" t="inlineStr">
        <is>
          <t>Cost score</t>
        </is>
      </c>
      <c r="B4" s="4" t="n">
        <v>3</v>
      </c>
    </row>
    <row r="5">
      <c r="A5" s="3" t="inlineStr">
        <is>
          <t>Risk score</t>
        </is>
      </c>
      <c r="B5" s="4" t="n">
        <v>2</v>
      </c>
    </row>
    <row r="6">
      <c r="A6" s="3" t="inlineStr">
        <is>
          <t>Unit price</t>
        </is>
      </c>
      <c r="B6" s="4" t="n">
        <v>49</v>
      </c>
    </row>
    <row r="7">
      <c r="A7" s="3" t="inlineStr">
        <is>
          <t>Estimated units</t>
        </is>
      </c>
      <c r="B7" s="4" t="n">
        <v>120</v>
      </c>
    </row>
    <row r="8">
      <c r="A8" s="3" t="inlineStr">
        <is>
          <t>Variable cost per unit</t>
        </is>
      </c>
      <c r="B8" s="4" t="n">
        <v>9</v>
      </c>
    </row>
    <row r="9">
      <c r="A9" s="3" t="inlineStr">
        <is>
          <t>Fixed costs</t>
        </is>
      </c>
      <c r="B9" s="4" t="n">
        <v>1400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26" customHeight="1">
      <c r="A1" s="1" t="inlineStr">
        <is>
          <t>Metrika</t>
        </is>
      </c>
      <c r="B1" s="1" t="inlineStr">
        <is>
          <t>Rezultatas</t>
        </is>
      </c>
    </row>
    <row r="2">
      <c r="A2" s="3" t="inlineStr">
        <is>
          <t>Market score</t>
        </is>
      </c>
      <c r="B2" s="3">
        <f>Inputs!B2</f>
        <v/>
      </c>
    </row>
    <row r="3">
      <c r="A3" s="3" t="inlineStr">
        <is>
          <t>Pricing score</t>
        </is>
      </c>
      <c r="B3" s="3">
        <f>Inputs!B3</f>
        <v/>
      </c>
    </row>
    <row r="4">
      <c r="A4" s="3" t="inlineStr">
        <is>
          <t>Cost score</t>
        </is>
      </c>
      <c r="B4" s="3">
        <f>Inputs!B4</f>
        <v/>
      </c>
    </row>
    <row r="5">
      <c r="A5" s="3" t="inlineStr">
        <is>
          <t>Risk score</t>
        </is>
      </c>
      <c r="B5" s="3">
        <f>Inputs!B5</f>
        <v/>
      </c>
    </row>
    <row r="6">
      <c r="A6" s="3" t="inlineStr">
        <is>
          <t>Estimated revenue</t>
        </is>
      </c>
      <c r="B6" s="3">
        <f>Inputs!B6*Inputs!B7</f>
        <v/>
      </c>
    </row>
    <row r="7">
      <c r="A7" s="3" t="inlineStr">
        <is>
          <t>Estimated profit</t>
        </is>
      </c>
      <c r="B7" s="3">
        <f>B6-(Inputs!B8*Inputs!B7)-Inputs!B9</f>
        <v/>
      </c>
    </row>
    <row r="8">
      <c r="A8" s="3" t="inlineStr">
        <is>
          <t>Break-even point</t>
        </is>
      </c>
      <c r="B8" s="3">
        <f>IFERROR(Inputs!B9/(Inputs!B6-Inputs!B8),0)</f>
        <v/>
      </c>
    </row>
    <row r="9">
      <c r="A9" s="3" t="inlineStr">
        <is>
          <t>Final idea score</t>
        </is>
      </c>
      <c r="B9" s="3">
        <f>ROUND(AVERAGE(B2:B4,6-B5),2)</f>
        <v/>
      </c>
    </row>
    <row r="10">
      <c r="A10" s="3" t="inlineStr">
        <is>
          <t>Recommendation</t>
        </is>
      </c>
      <c r="B10" s="3">
        <f>IF(B9&lt;3,"Reject",IF(OR(B7&lt;0,B9&lt;4),"Test","Build MVP"))</f>
        <v/>
      </c>
    </row>
    <row r="11">
      <c r="A11" s="3" t="inlineStr">
        <is>
          <t>Profit margin</t>
        </is>
      </c>
      <c r="B11" s="3">
        <f>IFERROR(B7/B6,0)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26" customHeight="1">
      <c r="A1" s="1" t="inlineStr">
        <is>
          <t>Rodiklis</t>
        </is>
      </c>
      <c r="B1" s="1" t="inlineStr">
        <is>
          <t>Rezultatas</t>
        </is>
      </c>
    </row>
    <row r="2">
      <c r="A2" s="3" t="inlineStr">
        <is>
          <t>Market score</t>
        </is>
      </c>
      <c r="B2" s="3">
        <f>Model!B2</f>
        <v/>
      </c>
    </row>
    <row r="3">
      <c r="A3" s="3" t="inlineStr">
        <is>
          <t>Pricing score</t>
        </is>
      </c>
      <c r="B3" s="3">
        <f>Model!B3</f>
        <v/>
      </c>
    </row>
    <row r="4">
      <c r="A4" s="3" t="inlineStr">
        <is>
          <t>Cost score</t>
        </is>
      </c>
      <c r="B4" s="3">
        <f>Model!B4</f>
        <v/>
      </c>
    </row>
    <row r="5">
      <c r="A5" s="3" t="inlineStr">
        <is>
          <t>Risk score</t>
        </is>
      </c>
      <c r="B5" s="3">
        <f>Model!B5</f>
        <v/>
      </c>
    </row>
    <row r="6">
      <c r="A6" s="3" t="inlineStr">
        <is>
          <t>Estimated revenue</t>
        </is>
      </c>
      <c r="B6" s="3">
        <f>Model!B6</f>
        <v/>
      </c>
    </row>
    <row r="7">
      <c r="A7" s="3" t="inlineStr">
        <is>
          <t>Estimated profit</t>
        </is>
      </c>
      <c r="B7" s="3">
        <f>Model!B7</f>
        <v/>
      </c>
    </row>
    <row r="8">
      <c r="A8" s="3" t="inlineStr">
        <is>
          <t>Break-even point</t>
        </is>
      </c>
      <c r="B8" s="3">
        <f>Model!B8</f>
        <v/>
      </c>
    </row>
    <row r="9">
      <c r="A9" s="3" t="inlineStr">
        <is>
          <t>Final idea score</t>
        </is>
      </c>
      <c r="B9" s="3">
        <f>Model!B9</f>
        <v/>
      </c>
    </row>
    <row r="10">
      <c r="A10" s="3" t="inlineStr">
        <is>
          <t>Recommendation</t>
        </is>
      </c>
      <c r="B10" s="3">
        <f>Model!B10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 ht="26" customHeight="1">
      <c r="A1" s="1" t="inlineStr">
        <is>
          <t>Klausimas</t>
        </is>
      </c>
      <c r="B1" s="1" t="inlineStr">
        <is>
          <t>Atsakymas</t>
        </is>
      </c>
      <c r="C1" s="1" t="inlineStr">
        <is>
          <t>Kitas veiksmas</t>
        </is>
      </c>
    </row>
    <row r="2">
      <c r="A2" s="3" t="inlineStr">
        <is>
          <t>Kas ?i? savait? ar m?nes? pajud?jo?</t>
        </is>
      </c>
      <c r="B2" s="3" t="inlineStr"/>
      <c r="C2" s="3" t="inlineStr"/>
    </row>
    <row r="3">
      <c r="A3" s="3" t="inlineStr">
        <is>
          <t>Kur kilo daugiausia trinties?</t>
        </is>
      </c>
      <c r="B3" s="3" t="inlineStr"/>
      <c r="C3" s="3" t="inlineStr"/>
    </row>
    <row r="4">
      <c r="A4" s="3" t="inlineStr">
        <is>
          <t>K? verta supaprastinti?</t>
        </is>
      </c>
      <c r="B4" s="3" t="inlineStr"/>
      <c r="C4" s="3" t="inlineStr"/>
    </row>
    <row r="5">
      <c r="A5" s="3" t="inlineStr">
        <is>
          <t>Koks vienas kitas veiksmas?</t>
        </is>
      </c>
      <c r="B5" s="3" t="inlineStr"/>
      <c r="C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2026-05-18T11:17:41Z</dcterms:created>
  <dcterms:modified xmlns:dcterms="http://purl.org/dc/terms/" xmlns:xsi="http://www.w3.org/2001/XMLSchema-instance" xsi:type="dcterms:W3CDTF">2026-05-18T11:17:41Z</dcterms:modified>
</cp:coreProperties>
</file>