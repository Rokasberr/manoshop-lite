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tart Here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Model" sheetId="3" state="visible" r:id="rId3"/>
    <sheet xmlns:r="http://schemas.openxmlformats.org/officeDocument/2006/relationships" name="Dashboard" sheetId="4" state="visible" r:id="rId4"/>
    <sheet xmlns:r="http://schemas.openxmlformats.org/officeDocument/2006/relationships" name="Review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5">
    <fill>
      <patternFill/>
    </fill>
    <fill>
      <patternFill patternType="gray125"/>
    </fill>
    <fill>
      <patternFill patternType="solid">
        <fgColor rgb="0010231D"/>
      </patternFill>
    </fill>
    <fill>
      <patternFill patternType="solid">
        <fgColor rgb="00E8EFE8"/>
      </patternFill>
    </fill>
    <fill>
      <patternFill patternType="solid">
        <fgColor rgb="00FFF4CC"/>
      </patternFill>
    </fill>
  </fills>
  <borders count="2">
    <border>
      <left/>
      <right/>
      <top/>
      <bottom/>
      <diagonal/>
    </border>
    <border>
      <left style="thin">
        <color rgb="00DCE5DD"/>
      </left>
      <right style="thin">
        <color rgb="00DCE5DD"/>
      </right>
      <top style="thin">
        <color rgb="00DCE5DD"/>
      </top>
      <bottom style="thin">
        <color rgb="00DCE5DD"/>
      </bottom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4" customWidth="1" min="2" max="2"/>
    <col width="24" customWidth="1" min="3" max="3"/>
    <col width="24" customWidth="1" min="4" max="4"/>
  </cols>
  <sheetData>
    <row r="1" ht="26" customHeight="1">
      <c r="A1" s="1" t="inlineStr">
        <is>
          <t>StillOak Studio</t>
        </is>
      </c>
      <c r="B1" s="1" t="inlineStr">
        <is>
          <t>Personal Budget System</t>
        </is>
      </c>
      <c r="C1" s="1" t="inlineStr">
        <is>
          <t>Finansai</t>
        </is>
      </c>
      <c r="D1" s="1" t="inlineStr">
        <is>
          <t>Demo</t>
        </is>
      </c>
    </row>
    <row r="2">
      <c r="A2" s="2" t="inlineStr">
        <is>
          <t>Kas tai yra</t>
        </is>
      </c>
      <c r="B2" s="2" t="inlineStr">
        <is>
          <t>Rami m?nesio biud?eto sistema pajamoms, i?laidoms, taupymui ir balansui matyti vienoje vietoje.</t>
        </is>
      </c>
      <c r="C2" s="2" t="inlineStr"/>
      <c r="D2" s="2" t="inlineStr"/>
    </row>
    <row r="3">
      <c r="A3" s="2" t="inlineStr">
        <is>
          <t>Naudojimo eiga</t>
        </is>
      </c>
      <c r="B3" s="2" t="inlineStr">
        <is>
          <t>1. Perskaitykite PDF gid?  2. U?pildykite Inputs lap?  3. Per?i?r?kite Dashboard  4. U?ra?ykite kit? veiksm?</t>
        </is>
      </c>
      <c r="C3" s="2" t="inlineStr"/>
      <c r="D3" s="2" t="inlineStr"/>
    </row>
    <row r="4">
      <c r="A4" s="3" t="inlineStr">
        <is>
          <t>Failo versija</t>
        </is>
      </c>
      <c r="B4" s="3" t="inlineStr">
        <is>
          <t>1.0</t>
        </is>
      </c>
      <c r="C4" s="3" t="inlineStr">
        <is>
          <t>Atnaujinta</t>
        </is>
      </c>
      <c r="D4" s="3" t="inlineStr">
        <is>
          <t>2026</t>
        </is>
      </c>
    </row>
    <row r="5">
      <c r="A5" s="3" t="inlineStr">
        <is>
          <t>Pastaba</t>
        </is>
      </c>
      <c r="B5" s="3" t="inlineStr">
        <is>
          <t>Geltonai pa?ym?ti laukai skirti pildymui. Formuli? laukai automati?kai atnaujina dashboard.</t>
        </is>
      </c>
      <c r="C5" s="3" t="inlineStr"/>
      <c r="D5" s="3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4" customWidth="1" min="2" max="2"/>
    <col width="24" customWidth="1" min="3" max="3"/>
    <col width="24" customWidth="1" min="4" max="4"/>
    <col width="24" customWidth="1" min="5" max="5"/>
  </cols>
  <sheetData>
    <row r="1" ht="26" customHeight="1">
      <c r="A1" s="1" t="inlineStr">
        <is>
          <t>Kategorija</t>
        </is>
      </c>
      <c r="B1" s="1" t="inlineStr">
        <is>
          <t>Tipas</t>
        </is>
      </c>
      <c r="C1" s="1" t="inlineStr">
        <is>
          <t>Planuota</t>
        </is>
      </c>
      <c r="D1" s="1" t="inlineStr">
        <is>
          <t>Faktas</t>
        </is>
      </c>
      <c r="E1" s="1" t="inlineStr">
        <is>
          <t>Pastaba</t>
        </is>
      </c>
    </row>
    <row r="2">
      <c r="A2" s="3" t="inlineStr">
        <is>
          <t>Atlyginimas</t>
        </is>
      </c>
      <c r="B2" s="4" t="inlineStr">
        <is>
          <t>Income</t>
        </is>
      </c>
      <c r="C2" s="4" t="n">
        <v>2800</v>
      </c>
      <c r="D2" s="4" t="n">
        <v>2800</v>
      </c>
      <c r="E2" s="4" t="inlineStr">
        <is>
          <t>Pagrindin?s pajamos</t>
        </is>
      </c>
    </row>
    <row r="3">
      <c r="A3" s="3" t="inlineStr">
        <is>
          <t>Papildomos pajamos</t>
        </is>
      </c>
      <c r="B3" s="4" t="inlineStr">
        <is>
          <t>Income</t>
        </is>
      </c>
      <c r="C3" s="4" t="n">
        <v>400</v>
      </c>
      <c r="D3" s="4" t="n">
        <v>350</v>
      </c>
      <c r="E3" s="4" t="inlineStr">
        <is>
          <t>Kintama dalis</t>
        </is>
      </c>
    </row>
    <row r="4">
      <c r="A4" s="3" t="inlineStr">
        <is>
          <t>B?stas</t>
        </is>
      </c>
      <c r="B4" s="4" t="inlineStr">
        <is>
          <t>Expense</t>
        </is>
      </c>
      <c r="C4" s="4" t="n">
        <v>800</v>
      </c>
      <c r="D4" s="4" t="n">
        <v>800</v>
      </c>
      <c r="E4" s="4" t="inlineStr"/>
    </row>
    <row r="5">
      <c r="A5" s="3" t="inlineStr">
        <is>
          <t>Maistas</t>
        </is>
      </c>
      <c r="B5" s="4" t="inlineStr">
        <is>
          <t>Expense</t>
        </is>
      </c>
      <c r="C5" s="4" t="n">
        <v>420</v>
      </c>
      <c r="D5" s="4" t="n">
        <v>460</v>
      </c>
      <c r="E5" s="4" t="inlineStr"/>
    </row>
    <row r="6">
      <c r="A6" s="3" t="inlineStr">
        <is>
          <t>Transportas</t>
        </is>
      </c>
      <c r="B6" s="4" t="inlineStr">
        <is>
          <t>Expense</t>
        </is>
      </c>
      <c r="C6" s="4" t="n">
        <v>180</v>
      </c>
      <c r="D6" s="4" t="n">
        <v>160</v>
      </c>
      <c r="E6" s="4" t="inlineStr"/>
    </row>
    <row r="7">
      <c r="A7" s="3" t="inlineStr">
        <is>
          <t>Prenumeratos</t>
        </is>
      </c>
      <c r="B7" s="4" t="inlineStr">
        <is>
          <t>Expense</t>
        </is>
      </c>
      <c r="C7" s="4" t="n">
        <v>90</v>
      </c>
      <c r="D7" s="4" t="n">
        <v>120</v>
      </c>
      <c r="E7" s="4" t="inlineStr"/>
    </row>
    <row r="8">
      <c r="A8" s="3" t="inlineStr">
        <is>
          <t>Taupymas</t>
        </is>
      </c>
      <c r="B8" s="4" t="inlineStr">
        <is>
          <t>Savings</t>
        </is>
      </c>
      <c r="C8" s="4" t="n">
        <v>500</v>
      </c>
      <c r="D8" s="4" t="n">
        <v>450</v>
      </c>
      <c r="E8" s="4" t="inlineStr"/>
    </row>
    <row r="9">
      <c r="A9" s="3" t="inlineStr">
        <is>
          <t>Kitos i?laidos</t>
        </is>
      </c>
      <c r="B9" s="4" t="inlineStr">
        <is>
          <t>Expense</t>
        </is>
      </c>
      <c r="C9" s="4" t="n">
        <v>220</v>
      </c>
      <c r="D9" s="4" t="n">
        <v>260</v>
      </c>
      <c r="E9" s="4" t="inlineStr"/>
    </row>
    <row r="10">
      <c r="A10" s="3" t="inlineStr"/>
      <c r="B10" s="4" t="inlineStr"/>
      <c r="C10" s="4" t="inlineStr"/>
      <c r="D10" s="4" t="inlineStr"/>
      <c r="E10" s="4" t="inlineStr"/>
    </row>
    <row r="11">
      <c r="A11" s="3" t="inlineStr">
        <is>
          <t>Tikslin? taupymo suma</t>
        </is>
      </c>
      <c r="B11" s="4" t="n">
        <v>6000</v>
      </c>
      <c r="C11" s="4" t="inlineStr"/>
      <c r="D11" s="4" t="inlineStr"/>
      <c r="E11" s="4" t="inlineStr"/>
    </row>
    <row r="12">
      <c r="A12" s="3" t="inlineStr">
        <is>
          <t>Sukaupta prie? m?nes?</t>
        </is>
      </c>
      <c r="B12" s="4" t="n">
        <v>1800</v>
      </c>
      <c r="C12" s="4" t="inlineStr"/>
      <c r="D12" s="4" t="inlineStr"/>
      <c r="E12" s="4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4" customWidth="1" min="2" max="2"/>
  </cols>
  <sheetData>
    <row r="1" ht="26" customHeight="1">
      <c r="A1" s="1" t="inlineStr">
        <is>
          <t>Metrika</t>
        </is>
      </c>
      <c r="B1" s="1" t="inlineStr">
        <is>
          <t>Formul? / rezultatas</t>
        </is>
      </c>
    </row>
    <row r="2">
      <c r="A2" s="3" t="inlineStr">
        <is>
          <t>Total income</t>
        </is>
      </c>
      <c r="B2" s="3">
        <f>SUMIF(Inputs!B:B,"Income",Inputs!D:D)</f>
        <v/>
      </c>
    </row>
    <row r="3">
      <c r="A3" s="3" t="inlineStr">
        <is>
          <t>Total expenses</t>
        </is>
      </c>
      <c r="B3" s="3">
        <f>SUMIF(Inputs!B:B,"Expense",Inputs!D:D)</f>
        <v/>
      </c>
    </row>
    <row r="4">
      <c r="A4" s="3" t="inlineStr">
        <is>
          <t>Savings amount</t>
        </is>
      </c>
      <c r="B4" s="3">
        <f>SUMIF(Inputs!B:B,"Savings",Inputs!D:D)</f>
        <v/>
      </c>
    </row>
    <row r="5">
      <c r="A5" s="3" t="inlineStr">
        <is>
          <t>Monthly balance</t>
        </is>
      </c>
      <c r="B5" s="3">
        <f>B2-B3-B4</f>
        <v/>
      </c>
    </row>
    <row r="6">
      <c r="A6" s="3" t="inlineStr">
        <is>
          <t>Savings rate</t>
        </is>
      </c>
      <c r="B6" s="3">
        <f>IFERROR(B4/B2,0)</f>
        <v/>
      </c>
    </row>
    <row r="7">
      <c r="A7" s="3" t="inlineStr">
        <is>
          <t>Largest expense category</t>
        </is>
      </c>
      <c r="B7" s="3">
        <f>INDEX(Inputs!A:A,MATCH(MAXIFS(Inputs!D:D,Inputs!B:B,"Expense"),Inputs!D:D,0))</f>
        <v/>
      </c>
    </row>
    <row r="8">
      <c r="A8" s="3" t="inlineStr">
        <is>
          <t>Goal progress</t>
        </is>
      </c>
      <c r="B8" s="3">
        <f>MIN(1,MAX(0,IFERROR((Inputs!B12+B4)/Inputs!B11,0)))</f>
        <v/>
      </c>
    </row>
    <row r="9">
      <c r="A9" s="3" t="inlineStr">
        <is>
          <t>Spending status</t>
        </is>
      </c>
      <c r="B9" s="3">
        <f>IF(B5&lt;0,"Review spending",IF(B6&lt;0.1,"Increase savings","Healthy"))</f>
        <v/>
      </c>
    </row>
    <row r="10">
      <c r="A10" s="3" t="inlineStr">
        <is>
          <t>Recommendation</t>
        </is>
      </c>
      <c r="B10" s="3">
        <f>IF(B5&lt;0,"Ma?inkite kintamas i?laidas ir saugokite balans?.",IF(B6&lt;0.1,"Padidinkite taupymo ?na?? bent 5 procentais.","Ritmas sveikas - t?skite savaitin? per?i?r?."))</f>
        <v/>
      </c>
    </row>
    <row r="11">
      <c r="A11" s="3" t="inlineStr">
        <is>
          <t>Variable expense check</t>
        </is>
      </c>
      <c r="B11" s="3">
        <f>SUMIFS(Inputs!D:D,Inputs!B:B,"Expense",Inputs!C:C,"&gt;0")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4" customWidth="1" min="2" max="2"/>
    <col width="24" customWidth="1" min="3" max="3"/>
  </cols>
  <sheetData>
    <row r="1" ht="26" customHeight="1">
      <c r="A1" s="1" t="inlineStr">
        <is>
          <t>Rodiklis</t>
        </is>
      </c>
      <c r="B1" s="1" t="inlineStr">
        <is>
          <t>Rezultatas</t>
        </is>
      </c>
      <c r="C1" s="1" t="inlineStr">
        <is>
          <t>Pastaba</t>
        </is>
      </c>
    </row>
    <row r="2">
      <c r="A2" s="3" t="inlineStr">
        <is>
          <t>Total income</t>
        </is>
      </c>
      <c r="B2" s="3">
        <f>Model!B2</f>
        <v/>
      </c>
      <c r="C2" s="3" t="inlineStr">
        <is>
          <t>Visos faktin?s pajamos</t>
        </is>
      </c>
    </row>
    <row r="3">
      <c r="A3" s="3" t="inlineStr">
        <is>
          <t>Total expenses</t>
        </is>
      </c>
      <c r="B3" s="3">
        <f>Model!B3</f>
        <v/>
      </c>
      <c r="C3" s="3" t="inlineStr">
        <is>
          <t>Visos faktin?s i?laidos</t>
        </is>
      </c>
    </row>
    <row r="4">
      <c r="A4" s="3" t="inlineStr">
        <is>
          <t>Monthly balance</t>
        </is>
      </c>
      <c r="B4" s="3">
        <f>Model!B5</f>
        <v/>
      </c>
      <c r="C4" s="3" t="inlineStr">
        <is>
          <t>Pajamos minus i?laidos ir taupymas</t>
        </is>
      </c>
    </row>
    <row r="5">
      <c r="A5" s="3" t="inlineStr">
        <is>
          <t>Savings rate</t>
        </is>
      </c>
      <c r="B5" s="3">
        <f>Model!B6</f>
        <v/>
      </c>
      <c r="C5" s="3" t="inlineStr">
        <is>
          <t>Taupymo dalis nuo pajam?</t>
        </is>
      </c>
    </row>
    <row r="6">
      <c r="A6" s="3" t="inlineStr">
        <is>
          <t>Largest expense category</t>
        </is>
      </c>
      <c r="B6" s="3">
        <f>Model!B7</f>
        <v/>
      </c>
      <c r="C6" s="3" t="inlineStr">
        <is>
          <t>Did?iausia i?laid? vieta</t>
        </is>
      </c>
    </row>
    <row r="7">
      <c r="A7" s="3" t="inlineStr">
        <is>
          <t>Goal progress</t>
        </is>
      </c>
      <c r="B7" s="3">
        <f>Model!B8</f>
        <v/>
      </c>
      <c r="C7" s="3" t="inlineStr">
        <is>
          <t>Tikslo progresas</t>
        </is>
      </c>
    </row>
    <row r="8">
      <c r="A8" s="3" t="inlineStr">
        <is>
          <t>Spending status</t>
        </is>
      </c>
      <c r="B8" s="3">
        <f>Model!B9</f>
        <v/>
      </c>
      <c r="C8" s="3" t="inlineStr">
        <is>
          <t>Automatinis signalas</t>
        </is>
      </c>
    </row>
    <row r="9">
      <c r="A9" s="3" t="inlineStr">
        <is>
          <t>Recommendation</t>
        </is>
      </c>
      <c r="B9" s="3">
        <f>Model!B10</f>
        <v/>
      </c>
      <c r="C9" s="3" t="inlineStr">
        <is>
          <t>Kitas veiksmas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4" customWidth="1" min="2" max="2"/>
    <col width="24" customWidth="1" min="3" max="3"/>
  </cols>
  <sheetData>
    <row r="1" ht="26" customHeight="1">
      <c r="A1" s="1" t="inlineStr">
        <is>
          <t>Klausimas</t>
        </is>
      </c>
      <c r="B1" s="1" t="inlineStr">
        <is>
          <t>Atsakymas</t>
        </is>
      </c>
      <c r="C1" s="1" t="inlineStr">
        <is>
          <t>Kitas veiksmas</t>
        </is>
      </c>
    </row>
    <row r="2">
      <c r="A2" s="3" t="inlineStr">
        <is>
          <t>Kas ?i? savait? ar m?nes? pajud?jo?</t>
        </is>
      </c>
      <c r="B2" s="3" t="inlineStr"/>
      <c r="C2" s="3" t="inlineStr"/>
    </row>
    <row r="3">
      <c r="A3" s="3" t="inlineStr">
        <is>
          <t>Kur kilo daugiausia trinties?</t>
        </is>
      </c>
      <c r="B3" s="3" t="inlineStr"/>
      <c r="C3" s="3" t="inlineStr"/>
    </row>
    <row r="4">
      <c r="A4" s="3" t="inlineStr">
        <is>
          <t>K? verta supaprastinti?</t>
        </is>
      </c>
      <c r="B4" s="3" t="inlineStr"/>
      <c r="C4" s="3" t="inlineStr"/>
    </row>
    <row r="5">
      <c r="A5" s="3" t="inlineStr">
        <is>
          <t>Koks vienas kitas veiksmas?</t>
        </is>
      </c>
      <c r="B5" s="3" t="inlineStr"/>
      <c r="C5" s="3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2026-05-18T11:17:41Z</dcterms:created>
  <dcterms:modified xmlns:dcterms="http://purl.org/dc/terms/" xmlns:xsi="http://www.w3.org/2001/XMLSchema-instance" xsi:type="dcterms:W3CDTF">2026-05-18T11:17:41Z</dcterms:modified>
</cp:coreProperties>
</file>