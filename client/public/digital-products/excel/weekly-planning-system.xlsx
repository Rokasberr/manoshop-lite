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0231D"/>
      </patternFill>
    </fill>
    <fill>
      <patternFill patternType="solid">
        <fgColor rgb="00E8EFE8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CE5DD"/>
      </left>
      <right style="thin">
        <color rgb="00DCE5DD"/>
      </right>
      <top style="thin">
        <color rgb="00DCE5DD"/>
      </top>
      <bottom style="thin">
        <color rgb="00DCE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6" customHeight="1">
      <c r="A1" s="1" t="inlineStr">
        <is>
          <t>StillOak Studio</t>
        </is>
      </c>
      <c r="B1" s="1" t="inlineStr">
        <is>
          <t>Weekly Planning System</t>
        </is>
      </c>
      <c r="C1" s="1" t="inlineStr">
        <is>
          <t>Planavimas</t>
        </is>
      </c>
      <c r="D1" s="1" t="inlineStr">
        <is>
          <t>Demo</t>
        </is>
      </c>
    </row>
    <row r="2">
      <c r="A2" s="2" t="inlineStr">
        <is>
          <t>Kas tai yra</t>
        </is>
      </c>
      <c r="B2" s="2" t="inlineStr">
        <is>
          <t>Savait?s planavimo sistema tikslams, prioritetams, u?duotims ir fokuso rezultatui sekti.</t>
        </is>
      </c>
      <c r="C2" s="2" t="inlineStr"/>
      <c r="D2" s="2" t="inlineStr"/>
    </row>
    <row r="3">
      <c r="A3" s="2" t="inlineStr">
        <is>
          <t>Naudojimo eiga</t>
        </is>
      </c>
      <c r="B3" s="2" t="inlineStr">
        <is>
          <t>1. Perskaitykite PDF gid?  2. U?pildykite Inputs lap?  3. Per?i?r?kite Dashboard  4. U?ra?ykite kit? veiksm?</t>
        </is>
      </c>
      <c r="C3" s="2" t="inlineStr"/>
      <c r="D3" s="2" t="inlineStr"/>
    </row>
    <row r="4">
      <c r="A4" s="3" t="inlineStr">
        <is>
          <t>Failo versija</t>
        </is>
      </c>
      <c r="B4" s="3" t="inlineStr">
        <is>
          <t>1.0</t>
        </is>
      </c>
      <c r="C4" s="3" t="inlineStr">
        <is>
          <t>Atnaujinta</t>
        </is>
      </c>
      <c r="D4" s="3" t="inlineStr">
        <is>
          <t>2026</t>
        </is>
      </c>
    </row>
    <row r="5">
      <c r="A5" s="3" t="inlineStr">
        <is>
          <t>Pastaba</t>
        </is>
      </c>
      <c r="B5" s="3" t="inlineStr">
        <is>
          <t>Geltonai pa?ym?ti laukai skirti pildymui. Formuli? laukai automati?kai atnaujina dashboard.</t>
        </is>
      </c>
      <c r="C5" s="3" t="inlineStr"/>
      <c r="D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6" customHeight="1">
      <c r="A1" s="1" t="inlineStr">
        <is>
          <t>U?duotis</t>
        </is>
      </c>
      <c r="B1" s="1" t="inlineStr">
        <is>
          <t>Prioritetas</t>
        </is>
      </c>
      <c r="C1" s="1" t="inlineStr">
        <is>
          <t>Terminas</t>
        </is>
      </c>
      <c r="D1" s="1" t="inlineStr">
        <is>
          <t>B?sena</t>
        </is>
      </c>
      <c r="E1" s="1" t="inlineStr">
        <is>
          <t>Fokuso ?vertinimas</t>
        </is>
      </c>
    </row>
    <row r="2">
      <c r="A2" s="3" t="inlineStr">
        <is>
          <t>Paruo?ti savait?s tiksl?</t>
        </is>
      </c>
      <c r="B2" s="4" t="inlineStr">
        <is>
          <t>High</t>
        </is>
      </c>
      <c r="C2" s="5" t="n">
        <v>46161</v>
      </c>
      <c r="D2" s="4" t="inlineStr">
        <is>
          <t>Done</t>
        </is>
      </c>
      <c r="E2" s="4" t="n">
        <v>4</v>
      </c>
    </row>
    <row r="3">
      <c r="A3" s="3" t="inlineStr">
        <is>
          <t>U?baigti pagrindin? darb?</t>
        </is>
      </c>
      <c r="B3" s="4" t="inlineStr">
        <is>
          <t>High</t>
        </is>
      </c>
      <c r="C3" s="5" t="n">
        <v>46163</v>
      </c>
      <c r="D3" s="4" t="inlineStr">
        <is>
          <t>In progress</t>
        </is>
      </c>
      <c r="E3" s="4" t="n">
        <v>4</v>
      </c>
    </row>
    <row r="4">
      <c r="A4" s="3" t="inlineStr">
        <is>
          <t>Per?i?r?ti finansus</t>
        </is>
      </c>
      <c r="B4" s="4" t="inlineStr">
        <is>
          <t>Medium</t>
        </is>
      </c>
      <c r="C4" s="5" t="n">
        <v>46164</v>
      </c>
      <c r="D4" s="4" t="inlineStr">
        <is>
          <t>Planned</t>
        </is>
      </c>
      <c r="E4" s="4" t="n">
        <v>3</v>
      </c>
    </row>
    <row r="5">
      <c r="A5" s="3" t="inlineStr">
        <is>
          <t>Sutvarkyti pastabas</t>
        </is>
      </c>
      <c r="B5" s="4" t="inlineStr">
        <is>
          <t>Low</t>
        </is>
      </c>
      <c r="C5" s="5" t="n">
        <v>46159</v>
      </c>
      <c r="D5" s="4" t="inlineStr">
        <is>
          <t>Planned</t>
        </is>
      </c>
      <c r="E5" s="4" t="n">
        <v>3</v>
      </c>
    </row>
    <row r="6">
      <c r="A6" s="3" t="inlineStr">
        <is>
          <t>Savait?s refleksija</t>
        </is>
      </c>
      <c r="B6" s="4" t="inlineStr">
        <is>
          <t>Medium</t>
        </is>
      </c>
      <c r="C6" s="5" t="n">
        <v>46166</v>
      </c>
      <c r="D6" s="4" t="inlineStr">
        <is>
          <t>Planned</t>
        </is>
      </c>
      <c r="E6" s="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6" customHeight="1">
      <c r="A1" s="1" t="inlineStr">
        <is>
          <t>Metrika</t>
        </is>
      </c>
      <c r="B1" s="1" t="inlineStr">
        <is>
          <t>Rezultatas</t>
        </is>
      </c>
    </row>
    <row r="2">
      <c r="A2" s="3" t="inlineStr">
        <is>
          <t>Total tasks</t>
        </is>
      </c>
      <c r="B2" s="3">
        <f>COUNTA(Inputs!A2:A100)</f>
        <v/>
      </c>
    </row>
    <row r="3">
      <c r="A3" s="3" t="inlineStr">
        <is>
          <t>Completed tasks</t>
        </is>
      </c>
      <c r="B3" s="3">
        <f>COUNTIF(Inputs!D:D,"Done")</f>
        <v/>
      </c>
    </row>
    <row r="4">
      <c r="A4" s="3" t="inlineStr">
        <is>
          <t>Completion %</t>
        </is>
      </c>
      <c r="B4" s="3">
        <f>IFERROR(B3/B2,0)</f>
        <v/>
      </c>
    </row>
    <row r="5">
      <c r="A5" s="3" t="inlineStr">
        <is>
          <t>High-priority tasks</t>
        </is>
      </c>
      <c r="B5" s="3">
        <f>COUNTIF(Inputs!B:B,"High")</f>
        <v/>
      </c>
    </row>
    <row r="6">
      <c r="A6" s="3" t="inlineStr">
        <is>
          <t>Overdue tasks</t>
        </is>
      </c>
      <c r="B6" s="3">
        <f>COUNTIFS(Inputs!C:C,"&lt;"&amp;TODAY(),Inputs!D:D,"&lt;&gt;Done")</f>
        <v/>
      </c>
    </row>
    <row r="7">
      <c r="A7" s="3" t="inlineStr">
        <is>
          <t>Focus rating</t>
        </is>
      </c>
      <c r="B7" s="3">
        <f>IFERROR(AVERAGE(Inputs!E2:E100),0)</f>
        <v/>
      </c>
    </row>
    <row r="8">
      <c r="A8" s="3" t="inlineStr">
        <is>
          <t>Weekly score</t>
        </is>
      </c>
      <c r="B8" s="3">
        <f>ROUND((B4*70)+(B7/5*30),0)</f>
        <v/>
      </c>
    </row>
    <row r="9">
      <c r="A9" s="3" t="inlineStr">
        <is>
          <t>Recommendation</t>
        </is>
      </c>
      <c r="B9" s="3">
        <f>IF(B6&gt;0,"Pirma u?darykite v?luojan?ias u?duotis.",IF(B4&lt;0.7,"Suma?inkite apimt? ir palikite 3 prioritetus.","Savait?s ritmas sveikas - t?skite."))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6" customHeight="1">
      <c r="A1" s="1" t="inlineStr">
        <is>
          <t>Rodiklis</t>
        </is>
      </c>
      <c r="B1" s="1" t="inlineStr">
        <is>
          <t>Rezultatas</t>
        </is>
      </c>
    </row>
    <row r="2">
      <c r="A2" s="3" t="inlineStr">
        <is>
          <t>Total tasks</t>
        </is>
      </c>
      <c r="B2" s="3">
        <f>Model!B2</f>
        <v/>
      </c>
    </row>
    <row r="3">
      <c r="A3" s="3" t="inlineStr">
        <is>
          <t>Completed tasks</t>
        </is>
      </c>
      <c r="B3" s="3">
        <f>Model!B3</f>
        <v/>
      </c>
    </row>
    <row r="4">
      <c r="A4" s="3" t="inlineStr">
        <is>
          <t>Completion %</t>
        </is>
      </c>
      <c r="B4" s="3">
        <f>Model!B4</f>
        <v/>
      </c>
    </row>
    <row r="5">
      <c r="A5" s="3" t="inlineStr">
        <is>
          <t>High-priority tasks</t>
        </is>
      </c>
      <c r="B5" s="3">
        <f>Model!B5</f>
        <v/>
      </c>
    </row>
    <row r="6">
      <c r="A6" s="3" t="inlineStr">
        <is>
          <t>Overdue tasks</t>
        </is>
      </c>
      <c r="B6" s="3">
        <f>Model!B6</f>
        <v/>
      </c>
    </row>
    <row r="7">
      <c r="A7" s="3" t="inlineStr">
        <is>
          <t>Weekly score</t>
        </is>
      </c>
      <c r="B7" s="3">
        <f>Model!B8</f>
        <v/>
      </c>
    </row>
    <row r="8">
      <c r="A8" s="3" t="inlineStr">
        <is>
          <t>Focus rating</t>
        </is>
      </c>
      <c r="B8" s="3">
        <f>Model!B7</f>
        <v/>
      </c>
    </row>
    <row r="9">
      <c r="A9" s="3" t="inlineStr">
        <is>
          <t>Recommendation</t>
        </is>
      </c>
      <c r="B9" s="3">
        <f>Model!B9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6" customHeight="1">
      <c r="A1" s="1" t="inlineStr">
        <is>
          <t>Klausimas</t>
        </is>
      </c>
      <c r="B1" s="1" t="inlineStr">
        <is>
          <t>Atsakymas</t>
        </is>
      </c>
      <c r="C1" s="1" t="inlineStr">
        <is>
          <t>Kitas veiksmas</t>
        </is>
      </c>
    </row>
    <row r="2">
      <c r="A2" s="3" t="inlineStr">
        <is>
          <t>Kas ?i? savait? ar m?nes? pajud?jo?</t>
        </is>
      </c>
      <c r="B2" s="3" t="inlineStr"/>
      <c r="C2" s="3" t="inlineStr"/>
    </row>
    <row r="3">
      <c r="A3" s="3" t="inlineStr">
        <is>
          <t>Kur kilo daugiausia trinties?</t>
        </is>
      </c>
      <c r="B3" s="3" t="inlineStr"/>
      <c r="C3" s="3" t="inlineStr"/>
    </row>
    <row r="4">
      <c r="A4" s="3" t="inlineStr">
        <is>
          <t>K? verta supaprastinti?</t>
        </is>
      </c>
      <c r="B4" s="3" t="inlineStr"/>
      <c r="C4" s="3" t="inlineStr"/>
    </row>
    <row r="5">
      <c r="A5" s="3" t="inlineStr">
        <is>
          <t>Koks vienas kitas veiksmas?</t>
        </is>
      </c>
      <c r="B5" s="3" t="inlineStr"/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2026-05-18T11:17:41Z</dcterms:created>
  <dcterms:modified xmlns:dcterms="http://purl.org/dc/terms/" xmlns:xsi="http://www.w3.org/2001/XMLSchema-instance" xsi:type="dcterms:W3CDTF">2026-05-18T11:17:41Z</dcterms:modified>
</cp:coreProperties>
</file>