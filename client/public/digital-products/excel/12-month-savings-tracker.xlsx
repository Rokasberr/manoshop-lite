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Revie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0231D"/>
      </patternFill>
    </fill>
    <fill>
      <patternFill patternType="solid">
        <fgColor rgb="00E8EFE8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CE5DD"/>
      </left>
      <right style="thin">
        <color rgb="00DCE5DD"/>
      </right>
      <top style="thin">
        <color rgb="00DCE5DD"/>
      </top>
      <bottom style="thin">
        <color rgb="00DCE5DD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 ht="26" customHeight="1">
      <c r="A1" s="1" t="inlineStr">
        <is>
          <t>StillOak Studio</t>
        </is>
      </c>
      <c r="B1" s="1" t="inlineStr">
        <is>
          <t>12-Month Savings Tracker</t>
        </is>
      </c>
      <c r="C1" s="1" t="inlineStr">
        <is>
          <t>Finansai</t>
        </is>
      </c>
      <c r="D1" s="1" t="inlineStr">
        <is>
          <t>Demo</t>
        </is>
      </c>
    </row>
    <row r="2">
      <c r="A2" s="2" t="inlineStr">
        <is>
          <t>Kas tai yra</t>
        </is>
      </c>
      <c r="B2" s="2" t="inlineStr">
        <is>
          <t>Metin? taupymo sistema, skirta matyti tiksl?, ?mokas, likut? ir ar esate tinkamame ritme.</t>
        </is>
      </c>
      <c r="C2" s="2" t="inlineStr"/>
      <c r="D2" s="2" t="inlineStr"/>
    </row>
    <row r="3">
      <c r="A3" s="2" t="inlineStr">
        <is>
          <t>Naudojimo eiga</t>
        </is>
      </c>
      <c r="B3" s="2" t="inlineStr">
        <is>
          <t>1. Perskaitykite PDF gid?  2. U?pildykite Inputs lap?  3. Per?i?r?kite Dashboard  4. U?ra?ykite kit? veiksm?</t>
        </is>
      </c>
      <c r="C3" s="2" t="inlineStr"/>
      <c r="D3" s="2" t="inlineStr"/>
    </row>
    <row r="4">
      <c r="A4" s="3" t="inlineStr">
        <is>
          <t>Failo versija</t>
        </is>
      </c>
      <c r="B4" s="3" t="inlineStr">
        <is>
          <t>1.0</t>
        </is>
      </c>
      <c r="C4" s="3" t="inlineStr">
        <is>
          <t>Atnaujinta</t>
        </is>
      </c>
      <c r="D4" s="3" t="inlineStr">
        <is>
          <t>2026</t>
        </is>
      </c>
    </row>
    <row r="5">
      <c r="A5" s="3" t="inlineStr">
        <is>
          <t>Pastaba</t>
        </is>
      </c>
      <c r="B5" s="3" t="inlineStr">
        <is>
          <t>Geltonai pa?ym?ti laukai skirti pildymui. Formuli? laukai automati?kai atnaujina dashboard.</t>
        </is>
      </c>
      <c r="C5" s="3" t="inlineStr"/>
      <c r="D5" s="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 ht="26" customHeight="1">
      <c r="A1" s="1" t="inlineStr">
        <is>
          <t>Nustatymas</t>
        </is>
      </c>
      <c r="B1" s="1" t="inlineStr">
        <is>
          <t>Reik?m?</t>
        </is>
      </c>
      <c r="C1" s="1" t="n"/>
    </row>
    <row r="2">
      <c r="A2" s="3" t="inlineStr">
        <is>
          <t>Target amount</t>
        </is>
      </c>
      <c r="B2" s="4" t="n">
        <v>5000</v>
      </c>
      <c r="C2" s="4" t="n"/>
    </row>
    <row r="3">
      <c r="A3" s="3" t="inlineStr">
        <is>
          <t>Starting saved</t>
        </is>
      </c>
      <c r="B3" s="4" t="n">
        <v>1200</v>
      </c>
      <c r="C3" s="4" t="n"/>
    </row>
    <row r="4">
      <c r="A4" s="3" t="inlineStr">
        <is>
          <t>Start month</t>
        </is>
      </c>
      <c r="B4" s="4" t="inlineStr">
        <is>
          <t>Sausis</t>
        </is>
      </c>
      <c r="C4" s="4" t="n"/>
    </row>
    <row r="5">
      <c r="A5" s="3" t="n"/>
      <c r="B5" s="4" t="n"/>
      <c r="C5" s="4" t="n"/>
    </row>
    <row r="6">
      <c r="A6" s="3" t="inlineStr">
        <is>
          <t>M?nuo</t>
        </is>
      </c>
      <c r="B6" s="4" t="inlineStr">
        <is>
          <t>Planuota ?moka</t>
        </is>
      </c>
      <c r="C6" s="4" t="inlineStr">
        <is>
          <t>Faktin? ?moka</t>
        </is>
      </c>
    </row>
    <row r="7">
      <c r="A7" s="3" t="inlineStr">
        <is>
          <t>Sausis</t>
        </is>
      </c>
      <c r="B7" s="4" t="n">
        <v>300</v>
      </c>
      <c r="C7" s="4" t="n">
        <v>350</v>
      </c>
    </row>
    <row r="8">
      <c r="A8" s="3" t="inlineStr">
        <is>
          <t>Vasaris</t>
        </is>
      </c>
      <c r="B8" s="4" t="n">
        <v>300</v>
      </c>
      <c r="C8" s="4" t="n">
        <v>300</v>
      </c>
    </row>
    <row r="9">
      <c r="A9" s="3" t="inlineStr">
        <is>
          <t>Kovas</t>
        </is>
      </c>
      <c r="B9" s="4" t="n">
        <v>300</v>
      </c>
      <c r="C9" s="4" t="n">
        <v>420</v>
      </c>
    </row>
    <row r="10">
      <c r="A10" s="3" t="inlineStr">
        <is>
          <t>Balandis</t>
        </is>
      </c>
      <c r="B10" s="4" t="n">
        <v>300</v>
      </c>
      <c r="C10" s="4" t="n">
        <v>250</v>
      </c>
    </row>
    <row r="11">
      <c r="A11" s="3" t="inlineStr">
        <is>
          <t>Gegu??</t>
        </is>
      </c>
      <c r="B11" s="4" t="n">
        <v>300</v>
      </c>
      <c r="C11" s="4" t="n">
        <v>400</v>
      </c>
    </row>
    <row r="12">
      <c r="A12" s="3" t="inlineStr">
        <is>
          <t>Bir?elis</t>
        </is>
      </c>
      <c r="B12" s="4" t="n">
        <v>300</v>
      </c>
      <c r="C12" s="4" t="n">
        <v>0</v>
      </c>
    </row>
    <row r="13">
      <c r="A13" s="3" t="inlineStr">
        <is>
          <t>Liepa</t>
        </is>
      </c>
      <c r="B13" s="4" t="n">
        <v>300</v>
      </c>
      <c r="C13" s="4" t="n">
        <v>0</v>
      </c>
    </row>
    <row r="14">
      <c r="A14" s="3" t="inlineStr">
        <is>
          <t>Rugpj?tis</t>
        </is>
      </c>
      <c r="B14" s="4" t="n">
        <v>300</v>
      </c>
      <c r="C14" s="4" t="n">
        <v>0</v>
      </c>
    </row>
    <row r="15">
      <c r="A15" s="3" t="inlineStr">
        <is>
          <t>Rugs?jis</t>
        </is>
      </c>
      <c r="B15" s="4" t="n">
        <v>300</v>
      </c>
      <c r="C15" s="4" t="n">
        <v>0</v>
      </c>
    </row>
    <row r="16">
      <c r="A16" s="3" t="inlineStr">
        <is>
          <t>Spalis</t>
        </is>
      </c>
      <c r="B16" s="4" t="n">
        <v>300</v>
      </c>
      <c r="C16" s="4" t="n">
        <v>0</v>
      </c>
    </row>
    <row r="17">
      <c r="A17" s="3" t="inlineStr">
        <is>
          <t>Lapkritis</t>
        </is>
      </c>
      <c r="B17" s="4" t="n">
        <v>300</v>
      </c>
      <c r="C17" s="4" t="n">
        <v>0</v>
      </c>
    </row>
    <row r="18">
      <c r="A18" s="3" t="inlineStr">
        <is>
          <t>Gruodis</t>
        </is>
      </c>
      <c r="B18" s="4" t="n">
        <v>300</v>
      </c>
      <c r="C18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</cols>
  <sheetData>
    <row r="1" ht="26" customHeight="1">
      <c r="A1" s="1" t="inlineStr">
        <is>
          <t>Metrika</t>
        </is>
      </c>
      <c r="B1" s="1" t="inlineStr">
        <is>
          <t>Rezultatas</t>
        </is>
      </c>
    </row>
    <row r="2">
      <c r="A2" s="3" t="inlineStr">
        <is>
          <t>Target amount</t>
        </is>
      </c>
      <c r="B2" s="3">
        <f>Inputs!B2</f>
        <v/>
      </c>
    </row>
    <row r="3">
      <c r="A3" s="3" t="inlineStr">
        <is>
          <t>Saved amount</t>
        </is>
      </c>
      <c r="B3" s="3">
        <f>Inputs!B3+SUM(Inputs!C7:C18)</f>
        <v/>
      </c>
    </row>
    <row r="4">
      <c r="A4" s="3" t="inlineStr">
        <is>
          <t>Remaining amount</t>
        </is>
      </c>
      <c r="B4" s="3">
        <f>MAX(0,B2-B3)</f>
        <v/>
      </c>
    </row>
    <row r="5">
      <c r="A5" s="3" t="inlineStr">
        <is>
          <t>Months remaining</t>
        </is>
      </c>
      <c r="B5" s="3">
        <f>COUNTIF(Inputs!C7:C18,0)</f>
        <v/>
      </c>
    </row>
    <row r="6">
      <c r="A6" s="3" t="inlineStr">
        <is>
          <t>Monthly target</t>
        </is>
      </c>
      <c r="B6" s="3">
        <f>IFERROR(B4/MAX(1,B5),0)</f>
        <v/>
      </c>
    </row>
    <row r="7">
      <c r="A7" s="3" t="inlineStr">
        <is>
          <t>Actual monthly deposits</t>
        </is>
      </c>
      <c r="B7" s="3">
        <f>IFERROR(AVERAGEIF(Inputs!C7:C18,"&gt;0",Inputs!C7:C18),0)</f>
        <v/>
      </c>
    </row>
    <row r="8">
      <c r="A8" s="3" t="inlineStr">
        <is>
          <t>Progress %</t>
        </is>
      </c>
      <c r="B8" s="3">
        <f>MIN(1,IFERROR(B3/B2,0))</f>
        <v/>
      </c>
    </row>
    <row r="9">
      <c r="A9" s="3" t="inlineStr">
        <is>
          <t>Status</t>
        </is>
      </c>
      <c r="B9" s="3">
        <f>IF(B8&gt;=1,"Goal reached",IF(B7&gt;=B6,"On track","Behind"))</f>
        <v/>
      </c>
    </row>
    <row r="10">
      <c r="A10" s="3" t="inlineStr">
        <is>
          <t>Recommendation</t>
        </is>
      </c>
      <c r="B10" s="3">
        <f>IF(B8&gt;=1,"Tikslas pasiektas - suplanuokite kit?.",IF(B7&gt;=B6,"Ritmas pakankamas, t?skite ?mokas.","Padidinkite ?mok? arba prat?skite termin?."))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</cols>
  <sheetData>
    <row r="1" ht="26" customHeight="1">
      <c r="A1" s="1" t="inlineStr">
        <is>
          <t>Rodiklis</t>
        </is>
      </c>
      <c r="B1" s="1" t="inlineStr">
        <is>
          <t>Rezultatas</t>
        </is>
      </c>
    </row>
    <row r="2">
      <c r="A2" s="3" t="inlineStr">
        <is>
          <t>Target amount</t>
        </is>
      </c>
      <c r="B2" s="3">
        <f>Model!B2</f>
        <v/>
      </c>
    </row>
    <row r="3">
      <c r="A3" s="3" t="inlineStr">
        <is>
          <t>Saved amount</t>
        </is>
      </c>
      <c r="B3" s="3">
        <f>Model!B3</f>
        <v/>
      </c>
    </row>
    <row r="4">
      <c r="A4" s="3" t="inlineStr">
        <is>
          <t>Remaining amount</t>
        </is>
      </c>
      <c r="B4" s="3">
        <f>Model!B4</f>
        <v/>
      </c>
    </row>
    <row r="5">
      <c r="A5" s="3" t="inlineStr">
        <is>
          <t>Monthly target</t>
        </is>
      </c>
      <c r="B5" s="3">
        <f>Model!B6</f>
        <v/>
      </c>
    </row>
    <row r="6">
      <c r="A6" s="3" t="inlineStr">
        <is>
          <t>Actual monthly deposits</t>
        </is>
      </c>
      <c r="B6" s="3">
        <f>Model!B7</f>
        <v/>
      </c>
    </row>
    <row r="7">
      <c r="A7" s="3" t="inlineStr">
        <is>
          <t>Progress %</t>
        </is>
      </c>
      <c r="B7" s="3">
        <f>Model!B8</f>
        <v/>
      </c>
    </row>
    <row r="8">
      <c r="A8" s="3" t="inlineStr">
        <is>
          <t>Months remaining</t>
        </is>
      </c>
      <c r="B8" s="3">
        <f>Model!B5</f>
        <v/>
      </c>
    </row>
    <row r="9">
      <c r="A9" s="3" t="inlineStr">
        <is>
          <t>Status</t>
        </is>
      </c>
      <c r="B9" s="3">
        <f>Model!B9</f>
        <v/>
      </c>
    </row>
    <row r="10">
      <c r="A10" s="3" t="inlineStr">
        <is>
          <t>Recommendation</t>
        </is>
      </c>
      <c r="B10" s="3">
        <f>Model!B10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 ht="26" customHeight="1">
      <c r="A1" s="1" t="inlineStr">
        <is>
          <t>Klausimas</t>
        </is>
      </c>
      <c r="B1" s="1" t="inlineStr">
        <is>
          <t>Atsakymas</t>
        </is>
      </c>
      <c r="C1" s="1" t="inlineStr">
        <is>
          <t>Kitas veiksmas</t>
        </is>
      </c>
    </row>
    <row r="2">
      <c r="A2" s="3" t="inlineStr">
        <is>
          <t>Kas ?i? savait? ar m?nes? pajud?jo?</t>
        </is>
      </c>
      <c r="B2" s="3" t="inlineStr"/>
      <c r="C2" s="3" t="inlineStr"/>
    </row>
    <row r="3">
      <c r="A3" s="3" t="inlineStr">
        <is>
          <t>Kur kilo daugiausia trinties?</t>
        </is>
      </c>
      <c r="B3" s="3" t="inlineStr"/>
      <c r="C3" s="3" t="inlineStr"/>
    </row>
    <row r="4">
      <c r="A4" s="3" t="inlineStr">
        <is>
          <t>K? verta supaprastinti?</t>
        </is>
      </c>
      <c r="B4" s="3" t="inlineStr"/>
      <c r="C4" s="3" t="inlineStr"/>
    </row>
    <row r="5">
      <c r="A5" s="3" t="inlineStr">
        <is>
          <t>Koks vienas kitas veiksmas?</t>
        </is>
      </c>
      <c r="B5" s="3" t="inlineStr"/>
      <c r="C5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2026-05-18T11:17:41Z</dcterms:created>
  <dcterms:modified xmlns:dcterms="http://purl.org/dc/terms/" xmlns:xsi="http://www.w3.org/2001/XMLSchema-instance" xsi:type="dcterms:W3CDTF">2026-05-18T11:17:41Z</dcterms:modified>
</cp:coreProperties>
</file>