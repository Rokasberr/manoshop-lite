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7a9c5b4c3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abf901ee7aa4f63"/>
    <x:sheet xmlns:r="http://schemas.openxmlformats.org/officeDocument/2006/relationships" name="Start Here" sheetId="2" r:id="R0a05a00280474994"/>
    <x:sheet xmlns:r="http://schemas.openxmlformats.org/officeDocument/2006/relationships" name="Weekly Plan" sheetId="3" r:id="R19a9b6ac5bdb47f4"/>
    <x:sheet xmlns:r="http://schemas.openxmlformats.org/officeDocument/2006/relationships" name="Task Tracker" sheetId="4" r:id="R686f0a6b459a43b6"/>
    <x:sheet xmlns:r="http://schemas.openxmlformats.org/officeDocument/2006/relationships" name="Priority Matrix" sheetId="5" r:id="Rf78be2d09d2e4851"/>
    <x:sheet xmlns:r="http://schemas.openxmlformats.org/officeDocument/2006/relationships" name="Weekly Review" sheetId="6" r:id="R244bf5baf57c451e"/>
    <x:sheet xmlns:r="http://schemas.openxmlformats.org/officeDocument/2006/relationships" name="Settings" sheetId="7" r:id="Rb868f545d88c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/d/yyyy"/>
    <x:numFmt numFmtId="201" formatCode="0%"/>
    <x:numFmt numFmtId="202" formatCode="0"/>
    <x:numFmt numFmtId="203" formatCode="0.0"/>
  </x:numFmts>
  <x:fonts count="18">
    <x:font>
      <x:sz val="11"/>
      <x:name val="Carlito"/>
    </x:font>
    <x:font>
      <x:b/>
      <x:sz val="16"/>
      <x:color rgb="FFFFFF"/>
      <x:name val="Aptos Display"/>
    </x:font>
    <x:font>
      <x:b/>
      <x:sz val="11"/>
      <x:color rgb="FFFFFF"/>
      <x:name val="Aptos"/>
    </x:font>
    <x:font>
      <x:sz val="10"/>
      <x:color rgb="1F1A17"/>
      <x:name val="Aptos"/>
    </x:font>
    <x:font>
      <x:b/>
      <x:sz val="10"/>
      <x:color rgb="FFFFFF"/>
      <x:name val="Aptos"/>
    </x:font>
    <x:font>
      <x:b/>
      <x:sz val="10"/>
      <x:color rgb="1F1A17"/>
      <x:name val="Aptos"/>
    </x:font>
    <x:font>
      <x:b/>
      <x:sz val="16"/>
      <x:color rgb="FFFFFF"/>
      <x:name val="Aptos"/>
    </x:font>
    <x:font>
      <x:b/>
      <x:sz val="9"/>
      <x:color rgb="7A7068"/>
      <x:name val="Aptos"/>
    </x:font>
    <x:font>
      <x:sz val="9"/>
      <x:color rgb="1F1A17"/>
      <x:name val="Aptos"/>
    </x:font>
    <x:font>
      <x:b/>
      <x:sz val="9"/>
      <x:color rgb="1F1A17"/>
      <x:name val="Aptos"/>
    </x:font>
    <x:font>
      <x:b/>
      <x:sz val="22"/>
      <x:color rgb="FFFFFF"/>
      <x:name val="Aptos Display"/>
    </x:font>
    <x:font>
      <x:i/>
      <x:sz val="11"/>
      <x:color rgb="7A7068"/>
      <x:name val="Aptos"/>
    </x:font>
    <x:font>
      <x:b/>
      <x:sz val="9"/>
      <x:color rgb="FFFFFF"/>
      <x:name val="Aptos"/>
    </x:font>
    <x:font>
      <x:b/>
      <x:sz val="18"/>
      <x:color rgb="1F1A17"/>
      <x:name val="Aptos Display"/>
    </x:font>
    <x:font>
      <x:b/>
      <x:sz val="9"/>
      <x:color rgb="C8A96A"/>
      <x:name val="Aptos"/>
    </x:font>
    <x:font>
      <x:b/>
      <x:sz val="9"/>
      <x:color rgb="7E8F75"/>
      <x:name val="Aptos"/>
    </x:font>
    <x:font>
      <x:b/>
      <x:sz val="9"/>
      <x:color rgb="21677A"/>
      <x:name val="Aptos"/>
    </x:font>
    <x:font>
      <x:b/>
      <x:sz val="11"/>
      <x:color rgb="1F1A1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1F1A17"/>
      </x:patternFill>
    </x:fill>
    <x:fill>
      <x:patternFill patternType="solid">
        <x:fgColor rgb="C8A96A"/>
      </x:patternFill>
    </x:fill>
    <x:fill>
      <x:patternFill patternType="solid">
        <x:fgColor rgb="7E8F75"/>
      </x:patternFill>
    </x:fill>
    <x:fill>
      <x:patternFill patternType="solid">
        <x:fgColor rgb="FFFFFF"/>
      </x:patternFill>
    </x:fill>
    <x:fill>
      <x:patternFill patternType="solid">
        <x:fgColor rgb="FBF9F5"/>
      </x:patternFill>
    </x:fill>
    <x:fill>
      <x:patternFill patternType="solid">
        <x:fgColor rgb="F4ECE0"/>
      </x:patternFill>
    </x:fill>
    <x:fill>
      <x:patternFill patternType="solid">
        <x:fgColor rgb="F7F3EC"/>
      </x:patternFill>
    </x:fill>
    <x:fill>
      <x:patternFill patternType="solid">
        <x:fgColor rgb="FCFAF7"/>
      </x:patternFill>
    </x:fill>
    <x:fill>
      <x:patternFill patternType="solid">
        <x:fgColor rgb="E9EFE7"/>
      </x:patternFill>
    </x:fill>
  </x:fills>
  <x:borders count="2">
    <x:border/>
    <x:border/>
  </x:borders>
  <x:cellStyleXfs count="1">
    <x:xf numFmtId="0" fontId="0" fillId="0" borderId="0"/>
  </x:cellStyleXfs>
  <x:cellXfs count="1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left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left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200" fontId="3" fillId="6" borderId="0" xfId="0" applyNumberFormat="1" applyFont="1" applyFill="1" applyBorder="1" applyAlignment="1">
      <x:alignment horizontal="left" vertical="center" wrapText="1"/>
    </x:xf>
    <x:xf numFmtId="200" fontId="3" fillId="6" borderId="1" xfId="0" applyNumberFormat="1" applyFont="1" applyFill="1" applyBorder="1" applyAlignment="1">
      <x:alignment horizontal="left" vertical="center" wrapText="1"/>
    </x:xf>
    <x:xf numFmtId="200" fontId="3" fillId="5" borderId="0" xfId="0" applyNumberFormat="1" applyFont="1" applyFill="1" applyBorder="1" applyAlignment="1">
      <x:alignment horizontal="left" vertical="center" wrapText="1"/>
    </x:xf>
    <x:xf numFmtId="200" fontId="3" fillId="5" borderId="1" xfId="0" applyNumberFormat="1" applyFont="1" applyFill="1" applyBorder="1" applyAlignment="1">
      <x:alignment horizontal="left" vertical="center" wrapText="1"/>
    </x:xf>
    <x:xf numFmtId="201" fontId="3" fillId="5" borderId="0" xfId="0" applyNumberFormat="1" applyFont="1" applyFill="1" applyBorder="1" applyAlignment="1">
      <x:alignment horizontal="left" vertical="center" wrapText="1"/>
    </x:xf>
    <x:xf numFmtId="201" fontId="3" fillId="5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1" fontId="3" fillId="5" borderId="0" xfId="0" applyNumberFormat="1" applyFont="1" applyFill="1" applyBorder="1" applyAlignment="1">
      <x:alignment horizontal="center" vertical="center" wrapText="1"/>
    </x:xf>
    <x:xf numFmtId="201" fontId="3" fillId="5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left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horizontal="left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3" fillId="7" borderId="0" xfId="0" applyNumberFormat="1" applyFont="1" applyFill="1" applyBorder="1" applyAlignment="1">
      <x:alignment horizontal="left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3" fillId="7" borderId="1" xfId="0" applyNumberFormat="1" applyFont="1" applyFill="1" applyBorder="1" applyAlignment="1">
      <x:alignment horizontal="left" vertical="center" wrapText="1"/>
    </x:xf>
    <x:xf numFmtId="0" fontId="5" fillId="7" borderId="1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200" fontId="5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200" fontId="5" fillId="9" borderId="1" xfId="0" applyNumberFormat="1" applyFont="1" applyFill="1" applyBorder="1" applyAlignment="1">
      <x:alignment horizontal="center" vertical="center" wrapText="1"/>
    </x:xf>
    <x:xf numFmtId="202" fontId="5" fillId="9" borderId="0" xfId="0" applyNumberFormat="1" applyFont="1" applyFill="1" applyBorder="1" applyAlignment="1">
      <x:alignment horizontal="center" vertical="center" wrapText="1"/>
    </x:xf>
    <x:xf numFmtId="202" fontId="5" fillId="9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9" fillId="6" borderId="1" xfId="0" applyNumberFormat="1" applyFont="1" applyFill="1" applyBorder="1" applyAlignment="1">
      <x:alignment horizontal="left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left" vertic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left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left" vertical="center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202" fontId="13" fillId="5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202" fontId="13" fillId="5" borderId="1" xfId="0" applyNumberFormat="1" applyFont="1" applyFill="1" applyBorder="1" applyAlignment="1">
      <x:alignment horizontal="center" vertical="center" wrapText="1"/>
    </x:xf>
    <x:xf numFmtId="201" fontId="13" fillId="5" borderId="0" xfId="0" applyNumberFormat="1" applyFont="1" applyFill="1" applyBorder="1" applyAlignment="1">
      <x:alignment horizontal="center" vertical="center" wrapText="1"/>
    </x:xf>
    <x:xf numFmtId="201" fontId="13" fillId="5" borderId="1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203" fontId="13" fillId="5" borderId="0" xfId="0" applyNumberFormat="1" applyFont="1" applyFill="1" applyBorder="1" applyAlignment="1">
      <x:alignment horizontal="center" vertical="center" wrapText="1"/>
    </x:xf>
    <x:xf numFmtId="203" fontId="13" fillId="5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14" fillId="7" borderId="1" xfId="0" applyNumberFormat="1" applyFont="1" applyFill="1" applyBorder="1" applyAlignment="1">
      <x:alignment horizontal="center" vertical="center" wrapText="1"/>
    </x:xf>
    <x:xf numFmtId="0" fontId="14" fillId="7" borderId="1" xfId="0" applyNumberFormat="1" applyFont="1" applyFill="1" applyBorder="1" applyAlignment="1">
      <x:alignment horizontal="left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 applyAlignment="1">
      <x:alignment horizontal="left" vertical="center" wrapText="1"/>
    </x:xf>
    <x:xf numFmtId="0" fontId="8" fillId="10" borderId="1" xfId="0" applyNumberFormat="1" applyFont="1" applyFill="1" applyBorder="1" applyAlignment="1">
      <x:alignment horizontal="center" vertical="center" wrapText="1"/>
    </x:xf>
    <x:xf numFmtId="0" fontId="15" fillId="10" borderId="1" xfId="0" applyNumberFormat="1" applyFont="1" applyFill="1" applyBorder="1" applyAlignment="1">
      <x:alignment horizontal="center" vertical="center" wrapText="1"/>
    </x:xf>
    <x:xf numFmtId="0" fontId="15" fillId="10" borderId="1" xfId="0" applyNumberFormat="1" applyFont="1" applyFill="1" applyBorder="1" applyAlignment="1">
      <x:alignment horizontal="left" vertical="center" wrapText="1"/>
    </x:xf>
    <x:xf numFmtId="203" fontId="8" fillId="5" borderId="0" xfId="0" applyNumberFormat="1" applyFont="1" applyFill="1" applyBorder="1" applyAlignment="1">
      <x:alignment horizontal="center" vertical="center" wrapText="1"/>
    </x:xf>
    <x:xf numFmtId="203" fontId="8" fillId="5" borderId="1" xfId="0" applyNumberFormat="1" applyFont="1" applyFill="1" applyBorder="1" applyAlignment="1">
      <x:alignment horizontal="center" vertical="center" wrapText="1"/>
    </x:xf>
    <x:xf numFmtId="202" fontId="8" fillId="5" borderId="0" xfId="0" applyNumberFormat="1" applyFont="1" applyFill="1" applyBorder="1" applyAlignment="1">
      <x:alignment horizontal="center" vertical="center" wrapText="1"/>
    </x:xf>
    <x:xf numFmtId="202" fontId="8" fillId="5" borderId="1" xfId="0" applyNumberFormat="1" applyFont="1" applyFill="1" applyBorder="1" applyAlignment="1">
      <x:alignment horizontal="center" vertical="center" wrapText="1"/>
    </x:xf>
    <x:xf numFmtId="201" fontId="8" fillId="5" borderId="0" xfId="0" applyNumberFormat="1" applyFont="1" applyFill="1" applyBorder="1" applyAlignment="1">
      <x:alignment horizontal="center" vertical="center" wrapText="1"/>
    </x:xf>
    <x:xf numFmtId="201" fontId="8" fillId="5" borderId="1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horizontal="left" vertical="center" wrapText="1"/>
    </x:xf>
    <x:xf numFmtId="0" fontId="16" fillId="7" borderId="1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0" fontId="17" fillId="10" borderId="0" xfId="0" applyNumberFormat="1" applyFont="1" applyFill="1" applyBorder="1" applyAlignment="1">
      <x:alignment horizontal="center" vertical="center" wrapText="1"/>
    </x:xf>
    <x:xf numFmtId="0" fontId="17" fillId="10" borderId="0" xfId="0" applyNumberFormat="1" applyFont="1" applyFill="1" applyBorder="1" applyAlignment="1">
      <x:alignment horizontal="left" vertical="center" wrapText="1"/>
    </x:xf>
    <x:xf numFmtId="0" fontId="0" fillId="10" borderId="1" xfId="0" applyNumberFormat="1" applyFont="1" applyFill="1" applyBorder="1" applyAlignment="1">
      <x:alignment horizontal="center" vertical="center" wrapText="1"/>
    </x:xf>
    <x:xf numFmtId="0" fontId="17" fillId="10" borderId="1" xfId="0" applyNumberFormat="1" applyFont="1" applyFill="1" applyBorder="1" applyAlignment="1">
      <x:alignment horizontal="center" vertical="center" wrapText="1"/>
    </x:xf>
    <x:xf numFmtId="0" fontId="17" fillId="10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61a399e054a6c" /><Relationship Type="http://schemas.openxmlformats.org/officeDocument/2006/relationships/theme" Target="/xl/theme/theme1.xml" Id="R2d7c696f34db4984" /><Relationship Type="http://schemas.openxmlformats.org/officeDocument/2006/relationships/sharedStrings" Target="/xl/sharedStrings.xml" Id="R95a5032da9c44418" /><Relationship Type="http://schemas.openxmlformats.org/officeDocument/2006/relationships/worksheet" Target="/xl/worksheets/sheet1.xml" Id="Reabf901ee7aa4f63" /><Relationship Type="http://schemas.openxmlformats.org/officeDocument/2006/relationships/worksheet" Target="/xl/worksheets/sheet2.xml" Id="R0a05a00280474994" /><Relationship Type="http://schemas.openxmlformats.org/officeDocument/2006/relationships/worksheet" Target="/xl/worksheets/sheet3.xml" Id="R19a9b6ac5bdb47f4" /><Relationship Type="http://schemas.openxmlformats.org/officeDocument/2006/relationships/worksheet" Target="/xl/worksheets/sheet4.xml" Id="R686f0a6b459a43b6" /><Relationship Type="http://schemas.openxmlformats.org/officeDocument/2006/relationships/worksheet" Target="/xl/worksheets/sheet5.xml" Id="Rf78be2d09d2e4851" /><Relationship Type="http://schemas.openxmlformats.org/officeDocument/2006/relationships/worksheet" Target="/xl/worksheets/sheet6.xml" Id="R244bf5baf57c451e" /><Relationship Type="http://schemas.openxmlformats.org/officeDocument/2006/relationships/worksheet" Target="/xl/worksheets/sheet7.xml" Id="Rb868f545d88c4e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3" hidden="0" customWidth="1"/>
    <x:col min="3" max="3" width="13" hidden="0" customWidth="1"/>
    <x:col min="4" max="4" width="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2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</x:cols>
  <x:sheetData>
    <x:row r="1" ht="34" customHeight="1">
      <x:c r="A1" s="89" t="str">
        <x:v>STILLOAK
WEEKLY SYSTEM</x:v>
      </x:c>
      <x:c r="B1" s="89"/>
      <x:c r="C1" s="89"/>
      <x:c r="D1" s="83"/>
      <x:c r="E1" s="125" t="str">
        <x:v>WEEKLY PLANNING DASHBOARD</x:v>
      </x:c>
      <x:c r="F1" s="125"/>
      <x:c r="G1" s="125"/>
      <x:c r="H1" s="125"/>
      <x:c r="I1" s="125"/>
      <x:c r="J1" s="125"/>
      <x:c r="K1" s="125"/>
      <x:c r="L1" s="125"/>
      <x:c r="M1" s="125"/>
      <x:c r="N1" s="125"/>
      <x:c r="O1" s="125"/>
      <x:c r="P1" s="125"/>
      <x:c r="Q1" s="125"/>
      <x:c r="R1" s="125"/>
      <x:c r="S1" s="125"/>
      <x:c r="T1" s="125"/>
    </x:row>
    <x:row r="2" ht="26" customHeight="1">
      <x:c r="A2" s="89"/>
      <x:c r="B2" s="89"/>
      <x:c r="C2" s="89"/>
      <x:c r="D2" s="83"/>
      <x:c r="E2" s="125"/>
      <x:c r="F2" s="125"/>
      <x:c r="G2" s="125"/>
      <x:c r="H2" s="125"/>
      <x:c r="I2" s="125"/>
      <x:c r="J2" s="125"/>
      <x:c r="K2" s="125"/>
      <x:c r="L2" s="125"/>
      <x:c r="M2" s="125"/>
      <x:c r="N2" s="125"/>
      <x:c r="O2" s="125"/>
      <x:c r="P2" s="125"/>
      <x:c r="Q2" s="125"/>
      <x:c r="R2" s="125"/>
      <x:c r="S2" s="125"/>
      <x:c r="T2" s="125"/>
    </x:row>
    <x:row r="3" ht="22" customHeight="1">
      <x:c r="A3" s="89"/>
      <x:c r="B3" s="89"/>
      <x:c r="C3" s="89"/>
      <x:c r="D3" s="83"/>
      <x:c r="E3" s="129" t="str">
        <x:v>StillOak Studio • Clean weekly execution dashboard for priorities, time blocks, task status and review.</x:v>
      </x:c>
      <x:c r="F3" s="129"/>
      <x:c r="G3" s="129"/>
      <x:c r="H3" s="129"/>
      <x:c r="I3" s="129"/>
      <x:c r="J3" s="129"/>
      <x:c r="K3" s="129"/>
      <x:c r="L3" s="129"/>
      <x:c r="M3" s="129"/>
      <x:c r="N3" s="129"/>
      <x:c r="O3" s="129"/>
      <x:c r="P3" s="129"/>
      <x:c r="Q3" s="129"/>
      <x:c r="R3" s="129"/>
      <x:c r="S3" s="129"/>
      <x:c r="T3" s="129"/>
    </x:row>
    <x:row r="4" ht="20" customHeight="1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</x:row>
    <x:row r="5" ht="22" customHeight="1">
      <x:c r="A5" s="93" t="str">
        <x:v>CONTROL PANEL</x:v>
      </x:c>
      <x:c r="B5" s="93"/>
      <x:c r="C5" s="93"/>
      <x:c r="D5" s="83"/>
      <x:c r="E5" s="132" t="str">
        <x:v>TOTAL TASKS</x:v>
      </x:c>
      <x:c r="F5" s="132"/>
      <x:c r="G5" s="132" t="str">
        <x:v>COMPLETED</x:v>
      </x:c>
      <x:c r="H5" s="132"/>
      <x:c r="I5" s="132" t="str">
        <x:v>COMPLETION</x:v>
      </x:c>
      <x:c r="J5" s="132"/>
      <x:c r="K5" s="132" t="str">
        <x:v>HIGH PRIORITY</x:v>
      </x:c>
      <x:c r="L5" s="132"/>
      <x:c r="M5" s="83"/>
      <x:c r="N5" s="140" t="str">
        <x:v>OVERDUE</x:v>
      </x:c>
      <x:c r="O5" s="140"/>
      <x:c r="P5" s="140" t="str">
        <x:v>FOCUS HOURS</x:v>
      </x:c>
      <x:c r="Q5" s="140"/>
      <x:c r="R5" s="140" t="str">
        <x:v>WEEKLY SCORE</x:v>
      </x:c>
      <x:c r="S5" s="140"/>
      <x:c r="T5" s="140"/>
    </x:row>
    <x:row r="6" ht="30" customHeight="1">
      <x:c r="A6" s="83"/>
      <x:c r="B6" s="83"/>
      <x:c r="C6" s="83"/>
      <x:c r="D6" s="83"/>
      <x:c r="E6" s="135" t="n">
        <x:f>COUNTA('Task Tracker'!A5:A14)</x:f>
        <x:v>10</x:v>
      </x:c>
      <x:c r="F6" s="135"/>
      <x:c r="G6" s="135" t="n">
        <x:f>COUNTIF('Task Tracker'!E5:E14,"Done")</x:f>
        <x:v>1</x:v>
      </x:c>
      <x:c r="H6" s="135"/>
      <x:c r="I6" s="138" t="n">
        <x:f>IFERROR(COUNTIF('Task Tracker'!E5:E14,"Done")/COUNTA('Task Tracker'!A5:A14),0)</x:f>
        <x:v>0.1</x:v>
      </x:c>
      <x:c r="J6" s="138"/>
      <x:c r="K6" s="135" t="n">
        <x:f>COUNTIF('Task Tracker'!D5:D14,"High")</x:f>
        <x:v>5</x:v>
      </x:c>
      <x:c r="L6" s="135"/>
      <x:c r="M6" s="83"/>
      <x:c r="N6" s="135" t="n">
        <x:f>COUNTIF('Task Tracker'!I5:I14,"Overdue")</x:f>
        <x:v>0</x:v>
      </x:c>
      <x:c r="O6" s="135"/>
      <x:c r="P6" s="142" t="n">
        <x:f>SUM('Weekly Plan'!F11:F17)</x:f>
        <x:v>4.5</x:v>
      </x:c>
      <x:c r="Q6" s="142"/>
      <x:c r="R6" s="135" t="n">
        <x:f>ROUND(AVERAGE('Weekly Plan'!J11:J17),0)</x:f>
        <x:v>23</x:v>
      </x:c>
      <x:c r="S6" s="135"/>
      <x:c r="T6" s="135"/>
    </x:row>
    <x:row r="7" ht="30" customHeight="1">
      <x:c r="A7" s="98" t="str">
        <x:v>WEEK OF</x:v>
      </x:c>
      <x:c r="B7" s="98"/>
      <x:c r="C7" s="98"/>
      <x:c r="D7" s="83"/>
      <x:c r="E7" s="135"/>
      <x:c r="F7" s="135"/>
      <x:c r="G7" s="135"/>
      <x:c r="H7" s="135"/>
      <x:c r="I7" s="138"/>
      <x:c r="J7" s="138"/>
      <x:c r="K7" s="135"/>
      <x:c r="L7" s="135"/>
      <x:c r="M7" s="83"/>
      <x:c r="N7" s="135"/>
      <x:c r="O7" s="135"/>
      <x:c r="P7" s="142"/>
      <x:c r="Q7" s="142"/>
      <x:c r="R7" s="135"/>
      <x:c r="S7" s="135"/>
      <x:c r="T7" s="135"/>
    </x:row>
    <x:row r="8" ht="26" customHeight="1">
      <x:c r="A8" s="104" t="n">
        <x:f>'Weekly Plan'!B3</x:f>
        <x:v>46160</x:v>
      </x:c>
      <x:c r="B8" s="104"/>
      <x:c r="C8" s="104"/>
      <x:c r="D8" s="83"/>
      <x:c r="E8" s="135"/>
      <x:c r="F8" s="135"/>
      <x:c r="G8" s="135"/>
      <x:c r="H8" s="135"/>
      <x:c r="I8" s="138"/>
      <x:c r="J8" s="138"/>
      <x:c r="K8" s="135"/>
      <x:c r="L8" s="135"/>
      <x:c r="M8" s="83"/>
      <x:c r="N8" s="135"/>
      <x:c r="O8" s="135"/>
      <x:c r="P8" s="142"/>
      <x:c r="Q8" s="142"/>
      <x:c r="R8" s="135"/>
      <x:c r="S8" s="135"/>
      <x:c r="T8" s="135"/>
    </x:row>
    <x:row r="9" ht="20" customHeight="1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</x:row>
    <x:row r="10" ht="26" customHeight="1">
      <x:c r="A10" s="98" t="str">
        <x:v>YEAR</x:v>
      </x:c>
      <x:c r="B10" s="98"/>
      <x:c r="C10" s="98"/>
      <x:c r="D10" s="83"/>
      <x:c r="E10" s="145" t="str">
        <x:v>WEEKLY TASKS OVERVIEW</x:v>
      </x:c>
      <x:c r="F10" s="145"/>
      <x:c r="G10" s="145"/>
      <x:c r="H10" s="145"/>
      <x:c r="I10" s="145"/>
      <x:c r="J10" s="145"/>
      <x:c r="K10" s="145"/>
      <x:c r="L10" s="145"/>
      <x:c r="M10" s="83"/>
      <x:c r="N10" s="145" t="str">
        <x:v>PRIORITY &amp; STATUS SUMMARY</x:v>
      </x:c>
      <x:c r="O10" s="145"/>
      <x:c r="P10" s="145"/>
      <x:c r="Q10" s="145"/>
      <x:c r="R10" s="145"/>
      <x:c r="S10" s="145"/>
      <x:c r="T10" s="145"/>
    </x:row>
    <x:row r="11" ht="22" customHeight="1">
      <x:c r="A11" s="108" t="n">
        <x:f>YEAR('Weekly Plan'!B3)</x:f>
        <x:v>2026</x:v>
      </x:c>
      <x:c r="B11" s="108"/>
      <x:c r="C11" s="108"/>
      <x:c r="D11" s="83"/>
      <x:c r="E11" s="96"/>
      <x:c r="F11" s="96"/>
      <x:c r="G11" s="96"/>
      <x:c r="H11" s="96"/>
      <x:c r="I11" s="96"/>
      <x:c r="J11" s="96"/>
      <x:c r="K11" s="96"/>
      <x:c r="L11" s="96"/>
      <x:c r="M11" s="83"/>
      <x:c r="N11" s="96"/>
      <x:c r="O11" s="96"/>
      <x:c r="P11" s="96"/>
      <x:c r="Q11" s="96"/>
      <x:c r="R11" s="96"/>
      <x:c r="S11" s="96"/>
      <x:c r="T11" s="96"/>
    </x:row>
    <x:row r="12" ht="20" customHeight="1">
      <x:c r="A12" s="83"/>
      <x:c r="B12" s="83"/>
      <x:c r="C12" s="83"/>
      <x:c r="D12" s="83"/>
      <x:c r="E12" s="132" t="str">
        <x:v>Day</x:v>
      </x:c>
      <x:c r="F12" s="132" t="str">
        <x:v>Planned</x:v>
      </x:c>
      <x:c r="G12" s="132" t="str">
        <x:v>Actual</x:v>
      </x:c>
      <x:c r="H12" s="132" t="str">
        <x:v>Planned Bar</x:v>
      </x:c>
      <x:c r="I12" s="132"/>
      <x:c r="J12" s="132" t="str">
        <x:v>Actual Bar</x:v>
      </x:c>
      <x:c r="K12" s="132"/>
      <x:c r="L12" s="132" t="str">
        <x:v>Score</x:v>
      </x:c>
      <x:c r="M12" s="83"/>
      <x:c r="N12" s="140" t="str">
        <x:v>PRIORITY</x:v>
      </x:c>
      <x:c r="O12" s="140" t="str">
        <x:v>OPEN</x:v>
      </x:c>
      <x:c r="P12" s="140" t="str">
        <x:v>DONE</x:v>
      </x:c>
      <x:c r="Q12" s="140" t="str">
        <x:v>COMPLETION</x:v>
      </x:c>
      <x:c r="R12" s="96"/>
      <x:c r="S12" s="96"/>
      <x:c r="T12" s="96"/>
    </x:row>
    <x:row r="13" ht="20" customHeight="1">
      <x:c r="A13" s="98" t="str">
        <x:v>FOCUS</x:v>
      </x:c>
      <x:c r="B13" s="98"/>
      <x:c r="C13" s="98"/>
      <x:c r="D13" s="83"/>
      <x:c r="E13" s="115" t="str">
        <x:f>'Weekly Plan'!A11</x:f>
        <x:v>Monday</x:v>
      </x:c>
      <x:c r="F13" s="160" t="n">
        <x:f>'Weekly Plan'!E11</x:f>
        <x:v>2</x:v>
      </x:c>
      <x:c r="G13" s="160" t="n">
        <x:f>'Weekly Plan'!F11</x:f>
        <x:v>2</x:v>
      </x:c>
      <x:c r="H13" s="149" t="str">
        <x:f>REPT("█",ROUND(F13*4,0))</x:f>
        <x:v>████████</x:v>
      </x:c>
      <x:c r="I13" s="149"/>
      <x:c r="J13" s="155" t="str">
        <x:f>REPT("█",ROUND(G13*4,0))</x:f>
        <x:v>████████</x:v>
      </x:c>
      <x:c r="K13" s="155"/>
      <x:c r="L13" s="162" t="n">
        <x:f>'Weekly Plan'!J11</x:f>
        <x:v>100</x:v>
      </x:c>
      <x:c r="M13" s="83"/>
      <x:c r="N13" s="114" t="str">
        <x:v>High</x:v>
      </x:c>
      <x:c r="O13" s="114" t="n">
        <x:f>COUNTIFS('Task Tracker'!D5:D14,"High",'Task Tracker'!E5:E14,"&lt;&gt;Done")</x:f>
        <x:v>4</x:v>
      </x:c>
      <x:c r="P13" s="114" t="n">
        <x:f>COUNTIFS('Task Tracker'!D5:D14,"High",'Task Tracker'!E5:E14,"Done")</x:f>
        <x:v>1</x:v>
      </x:c>
      <x:c r="Q13" s="164" t="n">
        <x:f>IFERROR(P13/(O13+P13),0)</x:f>
        <x:v>0.2</x:v>
      </x:c>
      <x:c r="R13" s="96"/>
      <x:c r="S13" s="96"/>
      <x:c r="T13" s="96"/>
    </x:row>
    <x:row r="14" ht="20" customHeight="1">
      <x:c r="A14" s="103" t="str">
        <x:f>'Weekly Plan'!D3</x:f>
        <x:v>Launch better digital product workflow</x:v>
      </x:c>
      <x:c r="B14" s="103"/>
      <x:c r="C14" s="103"/>
      <x:c r="D14" s="83"/>
      <x:c r="E14" s="115" t="str">
        <x:f>'Weekly Plan'!A12</x:f>
        <x:v>Tuesday</x:v>
      </x:c>
      <x:c r="F14" s="160" t="n">
        <x:f>'Weekly Plan'!E12</x:f>
        <x:v>3</x:v>
      </x:c>
      <x:c r="G14" s="160" t="n">
        <x:f>'Weekly Plan'!F12</x:f>
        <x:v>2.5</x:v>
      </x:c>
      <x:c r="H14" s="149" t="str">
        <x:f>REPT("█",ROUND(F14*4,0))</x:f>
        <x:v>████████████</x:v>
      </x:c>
      <x:c r="I14" s="149"/>
      <x:c r="J14" s="155" t="str">
        <x:f>REPT("█",ROUND(G14*4,0))</x:f>
        <x:v>██████████</x:v>
      </x:c>
      <x:c r="K14" s="155"/>
      <x:c r="L14" s="162" t="n">
        <x:f>'Weekly Plan'!J12</x:f>
        <x:v>60</x:v>
      </x:c>
      <x:c r="M14" s="83"/>
      <x:c r="N14" s="114" t="str">
        <x:v>Medium</x:v>
      </x:c>
      <x:c r="O14" s="114" t="n">
        <x:f>COUNTIFS('Task Tracker'!D5:D14,"Medium",'Task Tracker'!E5:E14,"&lt;&gt;Done")</x:f>
        <x:v>4</x:v>
      </x:c>
      <x:c r="P14" s="114" t="n">
        <x:f>COUNTIFS('Task Tracker'!D5:D14,"Medium",'Task Tracker'!E5:E14,"Done")</x:f>
        <x:v>0</x:v>
      </x:c>
      <x:c r="Q14" s="164" t="n">
        <x:f>IFERROR(P14/(O14+P14),0)</x:f>
        <x:v>0</x:v>
      </x:c>
      <x:c r="R14" s="96"/>
      <x:c r="S14" s="96"/>
      <x:c r="T14" s="96"/>
    </x:row>
    <x:row r="15" ht="20" customHeight="1">
      <x:c r="A15" s="83"/>
      <x:c r="B15" s="83"/>
      <x:c r="C15" s="83"/>
      <x:c r="D15" s="83"/>
      <x:c r="E15" s="115" t="str">
        <x:f>'Weekly Plan'!A13</x:f>
        <x:v>Wednesday</x:v>
      </x:c>
      <x:c r="F15" s="160" t="n">
        <x:f>'Weekly Plan'!E13</x:f>
        <x:v>2.5</x:v>
      </x:c>
      <x:c r="G15" s="160" t="n">
        <x:f>'Weekly Plan'!F13</x:f>
        <x:v>0</x:v>
      </x:c>
      <x:c r="H15" s="149" t="str">
        <x:f>REPT("█",ROUND(F15*4,0))</x:f>
        <x:v>██████████</x:v>
      </x:c>
      <x:c r="I15" s="149"/>
      <x:c r="J15" s="155" t="str">
        <x:f>REPT("█",ROUND(G15*4,0))</x:f>
      </x:c>
      <x:c r="K15" s="155"/>
      <x:c r="L15" s="162" t="n">
        <x:f>'Weekly Plan'!J13</x:f>
        <x:v>0</x:v>
      </x:c>
      <x:c r="M15" s="83"/>
      <x:c r="N15" s="114" t="str">
        <x:v>Low</x:v>
      </x:c>
      <x:c r="O15" s="114" t="n">
        <x:f>COUNTIFS('Task Tracker'!D5:D14,"Low",'Task Tracker'!E5:E14,"&lt;&gt;Done")</x:f>
        <x:v>1</x:v>
      </x:c>
      <x:c r="P15" s="114" t="n">
        <x:f>COUNTIFS('Task Tracker'!D5:D14,"Low",'Task Tracker'!E5:E14,"Done")</x:f>
        <x:v>0</x:v>
      </x:c>
      <x:c r="Q15" s="164" t="n">
        <x:f>IFERROR(P15/(O15+P15),0)</x:f>
        <x:v>0</x:v>
      </x:c>
      <x:c r="R15" s="96"/>
      <x:c r="S15" s="96"/>
      <x:c r="T15" s="96"/>
    </x:row>
    <x:row r="16" ht="20" customHeight="1">
      <x:c r="A16" s="98" t="str">
        <x:v>ENERGY</x:v>
      </x:c>
      <x:c r="B16" s="98"/>
      <x:c r="C16" s="98"/>
      <x:c r="D16" s="83"/>
      <x:c r="E16" s="115" t="str">
        <x:f>'Weekly Plan'!A14</x:f>
        <x:v>Thursday</x:v>
      </x:c>
      <x:c r="F16" s="160" t="n">
        <x:f>'Weekly Plan'!E14</x:f>
        <x:v>2</x:v>
      </x:c>
      <x:c r="G16" s="160" t="n">
        <x:f>'Weekly Plan'!F14</x:f>
        <x:v>0</x:v>
      </x:c>
      <x:c r="H16" s="149" t="str">
        <x:f>REPT("█",ROUND(F16*4,0))</x:f>
        <x:v>████████</x:v>
      </x:c>
      <x:c r="I16" s="149"/>
      <x:c r="J16" s="155" t="str">
        <x:f>REPT("█",ROUND(G16*4,0))</x:f>
      </x:c>
      <x:c r="K16" s="155"/>
      <x:c r="L16" s="162" t="n">
        <x:f>'Weekly Plan'!J14</x:f>
        <x:v>0</x:v>
      </x:c>
      <x:c r="M16" s="83"/>
      <x:c r="N16" s="96"/>
      <x:c r="O16" s="96"/>
      <x:c r="P16" s="96"/>
      <x:c r="Q16" s="96"/>
      <x:c r="R16" s="96"/>
      <x:c r="S16" s="96"/>
      <x:c r="T16" s="96"/>
    </x:row>
    <x:row r="17" ht="20" customHeight="1">
      <x:c r="A17" s="103" t="str">
        <x:f>'Weekly Plan'!F3</x:f>
        <x:v>Balanced</x:v>
      </x:c>
      <x:c r="B17" s="103"/>
      <x:c r="C17" s="103"/>
      <x:c r="D17" s="83"/>
      <x:c r="E17" s="115" t="str">
        <x:f>'Weekly Plan'!A15</x:f>
        <x:v>Friday</x:v>
      </x:c>
      <x:c r="F17" s="160" t="n">
        <x:f>'Weekly Plan'!E15</x:f>
        <x:v>2</x:v>
      </x:c>
      <x:c r="G17" s="160" t="n">
        <x:f>'Weekly Plan'!F15</x:f>
        <x:v>0</x:v>
      </x:c>
      <x:c r="H17" s="149" t="str">
        <x:f>REPT("█",ROUND(F17*4,0))</x:f>
        <x:v>████████</x:v>
      </x:c>
      <x:c r="I17" s="149"/>
      <x:c r="J17" s="155" t="str">
        <x:f>REPT("█",ROUND(G17*4,0))</x:f>
      </x:c>
      <x:c r="K17" s="155"/>
      <x:c r="L17" s="162" t="n">
        <x:f>'Weekly Plan'!J15</x:f>
        <x:v>0</x:v>
      </x:c>
      <x:c r="M17" s="83"/>
      <x:c r="N17" s="96"/>
      <x:c r="O17" s="96"/>
      <x:c r="P17" s="96"/>
      <x:c r="Q17" s="96"/>
      <x:c r="R17" s="96"/>
      <x:c r="S17" s="96"/>
      <x:c r="T17" s="96"/>
    </x:row>
    <x:row r="18" ht="20" customHeight="1">
      <x:c r="A18" s="83"/>
      <x:c r="B18" s="83"/>
      <x:c r="C18" s="83"/>
      <x:c r="D18" s="83"/>
      <x:c r="E18" s="115" t="str">
        <x:f>'Weekly Plan'!A16</x:f>
        <x:v>Saturday</x:v>
      </x:c>
      <x:c r="F18" s="160" t="n">
        <x:f>'Weekly Plan'!E16</x:f>
        <x:v>1</x:v>
      </x:c>
      <x:c r="G18" s="160" t="n">
        <x:f>'Weekly Plan'!F16</x:f>
        <x:v>0</x:v>
      </x:c>
      <x:c r="H18" s="149" t="str">
        <x:f>REPT("█",ROUND(F18*4,0))</x:f>
        <x:v>████</x:v>
      </x:c>
      <x:c r="I18" s="149"/>
      <x:c r="J18" s="155" t="str">
        <x:f>REPT("█",ROUND(G18*4,0))</x:f>
      </x:c>
      <x:c r="K18" s="155"/>
      <x:c r="L18" s="162" t="n">
        <x:f>'Weekly Plan'!J16</x:f>
        <x:v>0</x:v>
      </x:c>
      <x:c r="M18" s="83"/>
      <x:c r="N18" s="132" t="str">
        <x:v>STATUS</x:v>
      </x:c>
      <x:c r="O18" s="132" t="str">
        <x:v>COUNT</x:v>
      </x:c>
      <x:c r="P18" s="132" t="str">
        <x:v>SHARE</x:v>
      </x:c>
      <x:c r="Q18" s="132" t="str">
        <x:v>VISUAL</x:v>
      </x:c>
      <x:c r="R18" s="132"/>
      <x:c r="S18" s="132" t="str">
        <x:v>NOTE</x:v>
      </x:c>
      <x:c r="T18" s="132"/>
    </x:row>
    <x:row r="19" ht="20" customHeight="1">
      <x:c r="A19" s="98" t="str">
        <x:v>PRIORITY</x:v>
      </x:c>
      <x:c r="B19" s="98"/>
      <x:c r="C19" s="98"/>
      <x:c r="D19" s="83"/>
      <x:c r="E19" s="115" t="str">
        <x:f>'Weekly Plan'!A17</x:f>
        <x:v>Sunday</x:v>
      </x:c>
      <x:c r="F19" s="160" t="n">
        <x:f>'Weekly Plan'!E17</x:f>
        <x:v>1</x:v>
      </x:c>
      <x:c r="G19" s="160" t="n">
        <x:f>'Weekly Plan'!F17</x:f>
        <x:v>0</x:v>
      </x:c>
      <x:c r="H19" s="149" t="str">
        <x:f>REPT("█",ROUND(F19*4,0))</x:f>
        <x:v>████</x:v>
      </x:c>
      <x:c r="I19" s="149"/>
      <x:c r="J19" s="155" t="str">
        <x:f>REPT("█",ROUND(G19*4,0))</x:f>
      </x:c>
      <x:c r="K19" s="155"/>
      <x:c r="L19" s="162" t="n">
        <x:f>'Weekly Plan'!J17</x:f>
        <x:v>0</x:v>
      </x:c>
      <x:c r="M19" s="83"/>
      <x:c r="N19" s="114" t="str">
        <x:v>Not Started</x:v>
      </x:c>
      <x:c r="O19" s="114" t="n">
        <x:f>COUNTIF('Task Tracker'!E5:E14,"Not Started")</x:f>
        <x:v>6</x:v>
      </x:c>
      <x:c r="P19" s="164" t="n">
        <x:f>IFERROR(O19/COUNTA('Task Tracker'!A5:A14),0)</x:f>
        <x:v>0.6</x:v>
      </x:c>
      <x:c r="Q19" s="149" t="str">
        <x:f>REPT("█",ROUND(P19*18,0))</x:f>
        <x:v>███████████</x:v>
      </x:c>
      <x:c r="R19" s="149"/>
      <x:c r="S19" s="114" t="str">
        <x:f>TEXT(P19,"0%")&amp;" of tasks"</x:f>
        <x:v>60% of tasks</x:v>
      </x:c>
      <x:c r="T19" s="114"/>
    </x:row>
    <x:row r="20" ht="20" customHeight="1">
      <x:c r="A20" s="103" t="str">
        <x:v>All</x:v>
      </x:c>
      <x:c r="B20" s="103"/>
      <x:c r="C20" s="103"/>
      <x:c r="D20" s="83"/>
      <x:c r="E20" s="176"/>
      <x:c r="F20" s="96"/>
      <x:c r="G20" s="96"/>
      <x:c r="H20" s="96"/>
      <x:c r="I20" s="96"/>
      <x:c r="J20" s="96"/>
      <x:c r="K20" s="96"/>
      <x:c r="L20" s="96"/>
      <x:c r="M20" s="83"/>
      <x:c r="N20" s="114" t="str">
        <x:v>In Progress</x:v>
      </x:c>
      <x:c r="O20" s="114" t="n">
        <x:f>COUNTIF('Task Tracker'!E5:E14,"In Progress")</x:f>
        <x:v>2</x:v>
      </x:c>
      <x:c r="P20" s="164" t="n">
        <x:f>IFERROR(O20/COUNTA('Task Tracker'!A5:A14),0)</x:f>
        <x:v>0.2</x:v>
      </x:c>
      <x:c r="Q20" s="149" t="str">
        <x:f>REPT("█",ROUND(P20*18,0))</x:f>
        <x:v>████</x:v>
      </x:c>
      <x:c r="R20" s="149"/>
      <x:c r="S20" s="114" t="str">
        <x:f>TEXT(P20,"0%")&amp;" of tasks"</x:f>
        <x:v>20% of tasks</x:v>
      </x:c>
      <x:c r="T20" s="114"/>
    </x:row>
    <x:row r="21" ht="20" customHeight="1">
      <x:c r="A21" s="83"/>
      <x:c r="B21" s="83"/>
      <x:c r="C21" s="83"/>
      <x:c r="D21" s="83"/>
      <x:c r="E21" s="176"/>
      <x:c r="F21" s="96"/>
      <x:c r="G21" s="96"/>
      <x:c r="H21" s="96"/>
      <x:c r="I21" s="96"/>
      <x:c r="J21" s="96"/>
      <x:c r="K21" s="96"/>
      <x:c r="L21" s="96"/>
      <x:c r="M21" s="83"/>
      <x:c r="N21" s="114" t="str">
        <x:v>Done</x:v>
      </x:c>
      <x:c r="O21" s="114" t="n">
        <x:f>COUNTIF('Task Tracker'!E5:E14,"Done")</x:f>
        <x:v>1</x:v>
      </x:c>
      <x:c r="P21" s="164" t="n">
        <x:f>IFERROR(O21/COUNTA('Task Tracker'!A5:A14),0)</x:f>
        <x:v>0.1</x:v>
      </x:c>
      <x:c r="Q21" s="149" t="str">
        <x:f>REPT("█",ROUND(P21*18,0))</x:f>
        <x:v>██</x:v>
      </x:c>
      <x:c r="R21" s="149"/>
      <x:c r="S21" s="114" t="str">
        <x:f>TEXT(P21,"0%")&amp;" of tasks"</x:f>
        <x:v>10% of tasks</x:v>
      </x:c>
      <x:c r="T21" s="114"/>
    </x:row>
    <x:row r="22" ht="20" customHeight="1">
      <x:c r="A22" s="98" t="str">
        <x:v>STATUS</x:v>
      </x:c>
      <x:c r="B22" s="98"/>
      <x:c r="C22" s="98"/>
      <x:c r="D22" s="83"/>
      <x:c r="E22" s="176"/>
      <x:c r="F22" s="96"/>
      <x:c r="G22" s="96"/>
      <x:c r="H22" s="96"/>
      <x:c r="I22" s="96"/>
      <x:c r="J22" s="96"/>
      <x:c r="K22" s="96"/>
      <x:c r="L22" s="96"/>
      <x:c r="M22" s="83"/>
      <x:c r="N22" s="114" t="str">
        <x:v>Deferred</x:v>
      </x:c>
      <x:c r="O22" s="114" t="n">
        <x:f>COUNTIF('Task Tracker'!E5:E14,"Deferred")</x:f>
        <x:v>1</x:v>
      </x:c>
      <x:c r="P22" s="164" t="n">
        <x:f>IFERROR(O22/COUNTA('Task Tracker'!A5:A14),0)</x:f>
        <x:v>0.1</x:v>
      </x:c>
      <x:c r="Q22" s="149" t="str">
        <x:f>REPT("█",ROUND(P22*18,0))</x:f>
        <x:v>██</x:v>
      </x:c>
      <x:c r="R22" s="149"/>
      <x:c r="S22" s="114" t="str">
        <x:f>TEXT(P22,"0%")&amp;" of tasks"</x:f>
        <x:v>10% of tasks</x:v>
      </x:c>
      <x:c r="T22" s="114"/>
    </x:row>
    <x:row r="23" ht="20" customHeight="1">
      <x:c r="A23" s="103" t="str">
        <x:v>All</x:v>
      </x:c>
      <x:c r="B23" s="103"/>
      <x:c r="C23" s="103"/>
      <x:c r="D23" s="83"/>
      <x:c r="E23" s="176"/>
      <x:c r="F23" s="96"/>
      <x:c r="G23" s="96"/>
      <x:c r="H23" s="96"/>
      <x:c r="I23" s="96"/>
      <x:c r="J23" s="96"/>
      <x:c r="K23" s="96"/>
      <x:c r="L23" s="96"/>
      <x:c r="M23" s="83"/>
      <x:c r="N23" s="96"/>
      <x:c r="O23" s="96"/>
      <x:c r="P23" s="96"/>
      <x:c r="Q23" s="96"/>
      <x:c r="R23" s="96"/>
      <x:c r="S23" s="96"/>
      <x:c r="T23" s="96"/>
    </x:row>
    <x:row r="24" ht="20" customHeight="1">
      <x:c r="A24" s="83"/>
      <x:c r="B24" s="83"/>
      <x:c r="C24" s="83"/>
      <x:c r="D24" s="83"/>
      <x:c r="E24" s="176"/>
      <x:c r="F24" s="96"/>
      <x:c r="G24" s="96"/>
      <x:c r="H24" s="96"/>
      <x:c r="I24" s="96"/>
      <x:c r="J24" s="96"/>
      <x:c r="K24" s="96"/>
      <x:c r="L24" s="96"/>
      <x:c r="M24" s="83"/>
      <x:c r="N24" s="96"/>
      <x:c r="O24" s="96"/>
      <x:c r="P24" s="96"/>
      <x:c r="Q24" s="96"/>
      <x:c r="R24" s="96"/>
      <x:c r="S24" s="96"/>
      <x:c r="T24" s="96"/>
    </x:row>
    <x:row r="25" ht="20" customHeight="1">
      <x:c r="A25" s="83"/>
      <x:c r="B25" s="83"/>
      <x:c r="C25" s="83"/>
      <x:c r="D25" s="83"/>
      <x:c r="E25" s="177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</x:row>
    <x:row r="26" ht="26" customHeight="1">
      <x:c r="A26" s="83"/>
      <x:c r="B26" s="83"/>
      <x:c r="C26" s="83"/>
      <x:c r="D26" s="83"/>
      <x:c r="E26" s="145" t="str">
        <x:v>DAILY FOCUS TREND</x:v>
      </x:c>
      <x:c r="F26" s="144"/>
      <x:c r="G26" s="144"/>
      <x:c r="H26" s="144"/>
      <x:c r="I26" s="144"/>
      <x:c r="J26" s="144"/>
      <x:c r="K26" s="144"/>
      <x:c r="L26" s="144"/>
      <x:c r="M26" s="83"/>
      <x:c r="N26" s="144" t="str">
        <x:v>TASK STATUS BREAKDOWN</x:v>
      </x:c>
      <x:c r="O26" s="144"/>
      <x:c r="P26" s="144"/>
      <x:c r="Q26" s="144"/>
      <x:c r="R26" s="144"/>
      <x:c r="S26" s="144"/>
      <x:c r="T26" s="144"/>
    </x:row>
    <x:row r="27" ht="20" customHeight="1">
      <x:c r="A27" s="83"/>
      <x:c r="B27" s="83"/>
      <x:c r="C27" s="83"/>
      <x:c r="D27" s="83"/>
      <x:c r="E27" s="176"/>
      <x:c r="F27" s="96"/>
      <x:c r="G27" s="96"/>
      <x:c r="H27" s="96"/>
      <x:c r="I27" s="96"/>
      <x:c r="J27" s="96"/>
      <x:c r="K27" s="96"/>
      <x:c r="L27" s="96"/>
      <x:c r="M27" s="83"/>
      <x:c r="N27" s="96"/>
      <x:c r="O27" s="96"/>
      <x:c r="P27" s="96"/>
      <x:c r="Q27" s="96"/>
      <x:c r="R27" s="96"/>
      <x:c r="S27" s="96"/>
      <x:c r="T27" s="96"/>
    </x:row>
    <x:row r="28" ht="20" customHeight="1">
      <x:c r="A28" s="83"/>
      <x:c r="B28" s="83"/>
      <x:c r="C28" s="83"/>
      <x:c r="D28" s="83"/>
      <x:c r="E28" s="178" t="str">
        <x:v>Day</x:v>
      </x:c>
      <x:c r="F28" s="140" t="str">
        <x:v>Actual Hours</x:v>
      </x:c>
      <x:c r="G28" s="140" t="str">
        <x:v>Focus Bar</x:v>
      </x:c>
      <x:c r="H28" s="140"/>
      <x:c r="I28" s="140"/>
      <x:c r="J28" s="140" t="str">
        <x:v>Score</x:v>
      </x:c>
      <x:c r="K28" s="140" t="str">
        <x:v>Status</x:v>
      </x:c>
      <x:c r="L28" s="140" t="str">
        <x:v>Focus</x:v>
      </x:c>
      <x:c r="M28" s="83"/>
      <x:c r="N28" s="132" t="str">
        <x:v>Status</x:v>
      </x:c>
      <x:c r="O28" s="132" t="str">
        <x:v>Count</x:v>
      </x:c>
      <x:c r="P28" s="132" t="str">
        <x:v>Share</x:v>
      </x:c>
      <x:c r="Q28" s="132" t="str">
        <x:v>Bar</x:v>
      </x:c>
      <x:c r="R28" s="132"/>
      <x:c r="S28" s="132"/>
      <x:c r="T28" s="132" t="str"/>
    </x:row>
    <x:row r="29" ht="20" customHeight="1">
      <x:c r="A29" s="83"/>
      <x:c r="B29" s="83"/>
      <x:c r="C29" s="83"/>
      <x:c r="D29" s="83"/>
      <x:c r="E29" s="115" t="str">
        <x:f>'Weekly Plan'!A11</x:f>
        <x:v>Monday</x:v>
      </x:c>
      <x:c r="F29" s="160" t="n">
        <x:f>'Weekly Plan'!F11</x:f>
        <x:v>2</x:v>
      </x:c>
      <x:c r="G29" s="155" t="str">
        <x:f>REPT("█",ROUND(F29*6,0))</x:f>
        <x:v>████████████</x:v>
      </x:c>
      <x:c r="H29" s="155"/>
      <x:c r="I29" s="155"/>
      <x:c r="J29" s="162" t="n">
        <x:f>'Weekly Plan'!J11</x:f>
        <x:v>100</x:v>
      </x:c>
      <x:c r="K29" s="114" t="str">
        <x:f>'Weekly Plan'!G11</x:f>
        <x:v>Done</x:v>
      </x:c>
      <x:c r="L29" s="114" t="str">
        <x:f>'Weekly Plan'!B11</x:f>
        <x:v>Planning</x:v>
      </x:c>
      <x:c r="M29" s="83"/>
      <x:c r="N29" s="114" t="str">
        <x:v>Not Started</x:v>
      </x:c>
      <x:c r="O29" s="114" t="n">
        <x:f>O19</x:f>
        <x:v>6</x:v>
      </x:c>
      <x:c r="P29" s="164" t="n">
        <x:f>P19</x:f>
        <x:v>0.6</x:v>
      </x:c>
      <x:c r="Q29" s="166" t="str">
        <x:f>REPT("█",ROUND(P29*24,0))</x:f>
        <x:v>██████████████</x:v>
      </x:c>
      <x:c r="R29" s="166"/>
      <x:c r="S29" s="166"/>
      <x:c r="T29" s="114" t="str">
        <x:f>TEXT(P29,"0%")</x:f>
        <x:v>60%</x:v>
      </x:c>
    </x:row>
    <x:row r="30" ht="20" customHeight="1">
      <x:c r="A30" s="83"/>
      <x:c r="B30" s="83"/>
      <x:c r="C30" s="83"/>
      <x:c r="D30" s="83"/>
      <x:c r="E30" s="115" t="str">
        <x:f>'Weekly Plan'!A12</x:f>
        <x:v>Tuesday</x:v>
      </x:c>
      <x:c r="F30" s="160" t="n">
        <x:f>'Weekly Plan'!F12</x:f>
        <x:v>2.5</x:v>
      </x:c>
      <x:c r="G30" s="155" t="str">
        <x:f>REPT("█",ROUND(F30*6,0))</x:f>
        <x:v>███████████████</x:v>
      </x:c>
      <x:c r="H30" s="155"/>
      <x:c r="I30" s="155"/>
      <x:c r="J30" s="162" t="n">
        <x:f>'Weekly Plan'!J12</x:f>
        <x:v>60</x:v>
      </x:c>
      <x:c r="K30" s="114" t="str">
        <x:f>'Weekly Plan'!G12</x:f>
        <x:v>In Progress</x:v>
      </x:c>
      <x:c r="L30" s="114" t="str">
        <x:f>'Weekly Plan'!B12</x:f>
        <x:v>Product</x:v>
      </x:c>
      <x:c r="M30" s="83"/>
      <x:c r="N30" s="114" t="str">
        <x:v>In Progress</x:v>
      </x:c>
      <x:c r="O30" s="114" t="n">
        <x:f>O20</x:f>
        <x:v>2</x:v>
      </x:c>
      <x:c r="P30" s="164" t="n">
        <x:f>P20</x:f>
        <x:v>0.2</x:v>
      </x:c>
      <x:c r="Q30" s="166" t="str">
        <x:f>REPT("█",ROUND(P30*24,0))</x:f>
        <x:v>█████</x:v>
      </x:c>
      <x:c r="R30" s="166"/>
      <x:c r="S30" s="166"/>
      <x:c r="T30" s="114" t="str">
        <x:f>TEXT(P30,"0%")</x:f>
        <x:v>20%</x:v>
      </x:c>
    </x:row>
    <x:row r="31" ht="20" customHeight="1">
      <x:c r="A31" s="111" t="str">
        <x:v>WEEKLY SNAPSHOT</x:v>
      </x:c>
      <x:c r="B31" s="111"/>
      <x:c r="C31" s="111"/>
      <x:c r="D31" s="83"/>
      <x:c r="E31" s="115" t="str">
        <x:f>'Weekly Plan'!A13</x:f>
        <x:v>Wednesday</x:v>
      </x:c>
      <x:c r="F31" s="160" t="n">
        <x:f>'Weekly Plan'!F13</x:f>
        <x:v>0</x:v>
      </x:c>
      <x:c r="G31" s="155" t="str">
        <x:f>REPT("█",ROUND(F31*6,0))</x:f>
      </x:c>
      <x:c r="H31" s="155"/>
      <x:c r="I31" s="155"/>
      <x:c r="J31" s="162" t="n">
        <x:f>'Weekly Plan'!J13</x:f>
        <x:v>0</x:v>
      </x:c>
      <x:c r="K31" s="114" t="str">
        <x:f>'Weekly Plan'!G13</x:f>
        <x:v>Not Started</x:v>
      </x:c>
      <x:c r="L31" s="114" t="str">
        <x:f>'Weekly Plan'!B13</x:f>
        <x:v>Website</x:v>
      </x:c>
      <x:c r="M31" s="83"/>
      <x:c r="N31" s="114" t="str">
        <x:v>Done</x:v>
      </x:c>
      <x:c r="O31" s="114" t="n">
        <x:f>O21</x:f>
        <x:v>1</x:v>
      </x:c>
      <x:c r="P31" s="164" t="n">
        <x:f>P21</x:f>
        <x:v>0.1</x:v>
      </x:c>
      <x:c r="Q31" s="166" t="str">
        <x:f>REPT("█",ROUND(P31*24,0))</x:f>
        <x:v>██</x:v>
      </x:c>
      <x:c r="R31" s="166"/>
      <x:c r="S31" s="166"/>
      <x:c r="T31" s="114" t="str">
        <x:f>TEXT(P31,"0%")</x:f>
        <x:v>10%</x:v>
      </x:c>
    </x:row>
    <x:row r="32" ht="20" customHeight="1">
      <x:c r="A32" s="115" t="str">
        <x:v>Outcome</x:v>
      </x:c>
      <x:c r="B32" s="120" t="str">
        <x:f>'Weekly Plan'!H3</x:f>
        <x:v>One premium product ready</x:v>
      </x:c>
      <x:c r="C32" s="120"/>
      <x:c r="D32" s="83"/>
      <x:c r="E32" s="115" t="str">
        <x:f>'Weekly Plan'!A14</x:f>
        <x:v>Thursday</x:v>
      </x:c>
      <x:c r="F32" s="160" t="n">
        <x:f>'Weekly Plan'!F14</x:f>
        <x:v>0</x:v>
      </x:c>
      <x:c r="G32" s="155" t="str">
        <x:f>REPT("█",ROUND(F32*6,0))</x:f>
      </x:c>
      <x:c r="H32" s="155"/>
      <x:c r="I32" s="155"/>
      <x:c r="J32" s="162" t="n">
        <x:f>'Weekly Plan'!J14</x:f>
        <x:v>0</x:v>
      </x:c>
      <x:c r="K32" s="114" t="str">
        <x:f>'Weekly Plan'!G14</x:f>
        <x:v>Not Started</x:v>
      </x:c>
      <x:c r="L32" s="114" t="str">
        <x:f>'Weekly Plan'!B14</x:f>
        <x:v>Testing</x:v>
      </x:c>
      <x:c r="M32" s="83"/>
      <x:c r="N32" s="114" t="str">
        <x:v>Deferred</x:v>
      </x:c>
      <x:c r="O32" s="114" t="n">
        <x:f>O22</x:f>
        <x:v>1</x:v>
      </x:c>
      <x:c r="P32" s="164" t="n">
        <x:f>P22</x:f>
        <x:v>0.1</x:v>
      </x:c>
      <x:c r="Q32" s="166" t="str">
        <x:f>REPT("█",ROUND(P32*24,0))</x:f>
        <x:v>██</x:v>
      </x:c>
      <x:c r="R32" s="166"/>
      <x:c r="S32" s="166"/>
      <x:c r="T32" s="114" t="str">
        <x:f>TEXT(P32,"0%")</x:f>
        <x:v>10%</x:v>
      </x:c>
    </x:row>
    <x:row r="33" ht="20" customHeight="1">
      <x:c r="A33" s="115" t="str">
        <x:v>Hours</x:v>
      </x:c>
      <x:c r="B33" s="120" t="n">
        <x:f>SUM('Weekly Plan'!F11:F17)</x:f>
        <x:v>4.5</x:v>
      </x:c>
      <x:c r="C33" s="120"/>
      <x:c r="D33" s="83"/>
      <x:c r="E33" s="115" t="str">
        <x:f>'Weekly Plan'!A15</x:f>
        <x:v>Friday</x:v>
      </x:c>
      <x:c r="F33" s="160" t="n">
        <x:f>'Weekly Plan'!F15</x:f>
        <x:v>0</x:v>
      </x:c>
      <x:c r="G33" s="155" t="str">
        <x:f>REPT("█",ROUND(F33*6,0))</x:f>
      </x:c>
      <x:c r="H33" s="155"/>
      <x:c r="I33" s="155"/>
      <x:c r="J33" s="162" t="n">
        <x:f>'Weekly Plan'!J15</x:f>
        <x:v>0</x:v>
      </x:c>
      <x:c r="K33" s="114" t="str">
        <x:f>'Weekly Plan'!G15</x:f>
        <x:v>Not Started</x:v>
      </x:c>
      <x:c r="L33" s="114" t="str">
        <x:f>'Weekly Plan'!B15</x:f>
        <x:v>Launch</x:v>
      </x:c>
      <x:c r="M33" s="83"/>
      <x:c r="N33" s="96"/>
      <x:c r="O33" s="96"/>
      <x:c r="P33" s="96"/>
      <x:c r="Q33" s="96"/>
      <x:c r="R33" s="96"/>
      <x:c r="S33" s="96"/>
      <x:c r="T33" s="96"/>
    </x:row>
    <x:row r="34" ht="20" customHeight="1">
      <x:c r="A34" s="115" t="str">
        <x:v>Score</x:v>
      </x:c>
      <x:c r="B34" s="120" t="n">
        <x:f>ROUND(AVERAGE('Weekly Plan'!J11:J17),0)</x:f>
        <x:v>23</x:v>
      </x:c>
      <x:c r="C34" s="120"/>
      <x:c r="D34" s="83"/>
      <x:c r="E34" s="115" t="str">
        <x:f>'Weekly Plan'!A16</x:f>
        <x:v>Saturday</x:v>
      </x:c>
      <x:c r="F34" s="160" t="n">
        <x:f>'Weekly Plan'!F16</x:f>
        <x:v>0</x:v>
      </x:c>
      <x:c r="G34" s="155" t="str">
        <x:f>REPT("█",ROUND(F34*6,0))</x:f>
      </x:c>
      <x:c r="H34" s="155"/>
      <x:c r="I34" s="155"/>
      <x:c r="J34" s="162" t="n">
        <x:f>'Weekly Plan'!J16</x:f>
        <x:v>0</x:v>
      </x:c>
      <x:c r="K34" s="114" t="str">
        <x:f>'Weekly Plan'!G16</x:f>
        <x:v>Not Started</x:v>
      </x:c>
      <x:c r="L34" s="114" t="str">
        <x:f>'Weekly Plan'!B16</x:f>
        <x:v>Review</x:v>
      </x:c>
      <x:c r="M34" s="83"/>
      <x:c r="N34" s="96"/>
      <x:c r="O34" s="96"/>
      <x:c r="P34" s="96"/>
      <x:c r="Q34" s="96"/>
      <x:c r="R34" s="96"/>
      <x:c r="S34" s="96"/>
      <x:c r="T34" s="96"/>
    </x:row>
    <x:row r="35" ht="20" customHeight="1">
      <x:c r="A35" s="83"/>
      <x:c r="B35" s="83"/>
      <x:c r="C35" s="83"/>
      <x:c r="D35" s="83"/>
      <x:c r="E35" s="115" t="str">
        <x:f>'Weekly Plan'!A17</x:f>
        <x:v>Sunday</x:v>
      </x:c>
      <x:c r="F35" s="160" t="n">
        <x:f>'Weekly Plan'!F17</x:f>
        <x:v>0</x:v>
      </x:c>
      <x:c r="G35" s="155" t="str">
        <x:f>REPT("█",ROUND(F35*6,0))</x:f>
      </x:c>
      <x:c r="H35" s="155"/>
      <x:c r="I35" s="155"/>
      <x:c r="J35" s="162" t="n">
        <x:f>'Weekly Plan'!J17</x:f>
        <x:v>0</x:v>
      </x:c>
      <x:c r="K35" s="114" t="str">
        <x:f>'Weekly Plan'!G17</x:f>
        <x:v>Not Started</x:v>
      </x:c>
      <x:c r="L35" s="114" t="str">
        <x:f>'Weekly Plan'!B17</x:f>
        <x:v>Reflection</x:v>
      </x:c>
      <x:c r="M35" s="83"/>
      <x:c r="N35" s="96"/>
      <x:c r="O35" s="96"/>
      <x:c r="P35" s="96"/>
      <x:c r="Q35" s="96"/>
      <x:c r="R35" s="96"/>
      <x:c r="S35" s="96"/>
      <x:c r="T35" s="96"/>
    </x:row>
    <x:row r="36" ht="26" customHeight="1">
      <x:c r="A36" s="83"/>
      <x:c r="B36" s="83"/>
      <x:c r="C36" s="83"/>
      <x:c r="D36" s="83"/>
      <x:c r="E36" s="96"/>
      <x:c r="F36" s="96"/>
      <x:c r="G36" s="96"/>
      <x:c r="H36" s="96"/>
      <x:c r="I36" s="96"/>
      <x:c r="J36" s="96"/>
      <x:c r="K36" s="96"/>
      <x:c r="L36" s="96"/>
      <x:c r="M36" s="83"/>
      <x:c r="N36" s="73" t="str">
        <x:v>RECOMMENDATION</x:v>
      </x:c>
      <x:c r="O36" s="73"/>
      <x:c r="P36" s="73"/>
      <x:c r="Q36" s="73"/>
      <x:c r="R36" s="73"/>
      <x:c r="S36" s="73"/>
      <x:c r="T36" s="73"/>
    </x:row>
    <x:row r="37" ht="20" customHeight="1">
      <x:c r="A37" s="83"/>
      <x:c r="B37" s="83"/>
      <x:c r="C37" s="83"/>
      <x:c r="D37" s="83"/>
      <x:c r="E37" s="96"/>
      <x:c r="F37" s="96"/>
      <x:c r="G37" s="96"/>
      <x:c r="H37" s="96"/>
      <x:c r="I37" s="96"/>
      <x:c r="J37" s="96"/>
      <x:c r="K37" s="96"/>
      <x:c r="L37" s="96"/>
      <x:c r="M37" s="83"/>
      <x:c r="N37" s="172" t="str">
        <x:f>IF(I6&gt;=0.8,"Excellent week. Maintain this rhythm and protect your deep work blocks.",IF(I6&gt;=0.5,"Good progress. Close the highest priority tasks before adding new work.",IF(I6&gt;=0.25,"Progress started. Reduce scope and complete one important task first.","Reset the week. Pick one high-impact task and finish it before anything else.")))</x:f>
        <x:v>Reset the week. Pick one high-impact task and finish it before anything else.</x:v>
      </x:c>
      <x:c r="O37" s="172"/>
      <x:c r="P37" s="172"/>
      <x:c r="Q37" s="172"/>
      <x:c r="R37" s="172"/>
      <x:c r="S37" s="172"/>
      <x:c r="T37" s="172"/>
    </x:row>
    <x:row r="38" ht="20" customHeight="1">
      <x:c r="A38" s="83"/>
      <x:c r="B38" s="83"/>
      <x:c r="C38" s="83"/>
      <x:c r="D38" s="83"/>
      <x:c r="E38" s="96"/>
      <x:c r="F38" s="96"/>
      <x:c r="G38" s="96"/>
      <x:c r="H38" s="96"/>
      <x:c r="I38" s="96"/>
      <x:c r="J38" s="96"/>
      <x:c r="K38" s="96"/>
      <x:c r="L38" s="96"/>
      <x:c r="M38" s="83"/>
      <x:c r="N38" s="172"/>
      <x:c r="O38" s="172"/>
      <x:c r="P38" s="172"/>
      <x:c r="Q38" s="172"/>
      <x:c r="R38" s="172"/>
      <x:c r="S38" s="172"/>
      <x:c r="T38" s="172"/>
    </x:row>
    <x:row r="39" ht="20" customHeight="1">
      <x:c r="A39" s="83"/>
      <x:c r="B39" s="83"/>
      <x:c r="C39" s="83"/>
      <x:c r="D39" s="83"/>
      <x:c r="E39" s="96"/>
      <x:c r="F39" s="96"/>
      <x:c r="G39" s="96"/>
      <x:c r="H39" s="96"/>
      <x:c r="I39" s="96"/>
      <x:c r="J39" s="96"/>
      <x:c r="K39" s="96"/>
      <x:c r="L39" s="96"/>
      <x:c r="M39" s="83"/>
      <x:c r="N39" s="172"/>
      <x:c r="O39" s="172"/>
      <x:c r="P39" s="172"/>
      <x:c r="Q39" s="172"/>
      <x:c r="R39" s="172"/>
      <x:c r="S39" s="172"/>
      <x:c r="T39" s="172"/>
    </x:row>
    <x:row r="40" ht="20" customHeight="1">
      <x:c r="A40" s="83"/>
      <x:c r="B40" s="83"/>
      <x:c r="C40" s="83"/>
      <x:c r="D40" s="83"/>
      <x:c r="E40" s="96"/>
      <x:c r="F40" s="96"/>
      <x:c r="G40" s="96"/>
      <x:c r="H40" s="96"/>
      <x:c r="I40" s="96"/>
      <x:c r="J40" s="96"/>
      <x:c r="K40" s="96"/>
      <x:c r="L40" s="96"/>
      <x:c r="M40" s="83"/>
      <x:c r="N40" s="172"/>
      <x:c r="O40" s="172"/>
      <x:c r="P40" s="172"/>
      <x:c r="Q40" s="172"/>
      <x:c r="R40" s="172"/>
      <x:c r="S40" s="172"/>
      <x:c r="T40" s="172"/>
    </x:row>
    <x:row r="41" ht="20" customHeight="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</x:row>
    <x:row r="42" ht="26" customHeight="1">
      <x:c r="A42" s="83"/>
      <x:c r="B42" s="83"/>
      <x:c r="C42" s="83"/>
      <x:c r="D42" s="83"/>
      <x:c r="E42" s="145" t="str">
        <x:v>StillOak Studio premium workbook • Update Weekly Plan and Task Tracker, then return here for an automatic weekly dashboard overview.</x:v>
      </x:c>
      <x:c r="F42" s="145"/>
      <x:c r="G42" s="145"/>
      <x:c r="H42" s="145"/>
      <x:c r="I42" s="145"/>
      <x:c r="J42" s="145"/>
      <x:c r="K42" s="145"/>
      <x:c r="L42" s="145"/>
      <x:c r="M42" s="145"/>
      <x:c r="N42" s="145"/>
      <x:c r="O42" s="145"/>
      <x:c r="P42" s="145"/>
      <x:c r="Q42" s="145"/>
      <x:c r="R42" s="145"/>
      <x:c r="S42" s="145"/>
      <x:c r="T42" s="145"/>
    </x:row>
    <x:row r="43" ht="20" customHeight="1">
      <x:c r="A43" s="83"/>
      <x:c r="B43" s="83"/>
      <x:c r="C43" s="83"/>
      <x:c r="D43" s="83"/>
      <x:c r="E43" s="145"/>
      <x:c r="F43" s="145"/>
      <x:c r="G43" s="145"/>
      <x:c r="H43" s="145"/>
      <x:c r="I43" s="145"/>
      <x:c r="J43" s="145"/>
      <x:c r="K43" s="145"/>
      <x:c r="L43" s="145"/>
      <x:c r="M43" s="145"/>
      <x:c r="N43" s="145"/>
      <x:c r="O43" s="145"/>
      <x:c r="P43" s="145"/>
      <x:c r="Q43" s="145"/>
      <x:c r="R43" s="145"/>
      <x:c r="S43" s="145"/>
      <x:c r="T43" s="145"/>
    </x:row>
    <x:row r="44" ht="20" customHeight="1">
      <x:c r="A44" s="83"/>
      <x:c r="B44" s="83"/>
      <x:c r="C44" s="83"/>
      <x:c r="D44" s="83"/>
      <x:c r="E44" s="145"/>
      <x:c r="F44" s="145"/>
      <x:c r="G44" s="145"/>
      <x:c r="H44" s="145"/>
      <x:c r="I44" s="145"/>
      <x:c r="J44" s="145"/>
      <x:c r="K44" s="145"/>
      <x:c r="L44" s="145"/>
      <x:c r="M44" s="145"/>
      <x:c r="N44" s="145"/>
      <x:c r="O44" s="145"/>
      <x:c r="P44" s="145"/>
      <x:c r="Q44" s="145"/>
      <x:c r="R44" s="145"/>
      <x:c r="S44" s="145"/>
      <x:c r="T44" s="145"/>
    </x:row>
    <x:row r="45" ht="20" customHeight="1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</x:row>
  </x:sheetData>
  <x:mergeCells>
    <x:mergeCell ref="A1:C3"/>
    <x:mergeCell ref="A5:C5"/>
    <x:mergeCell ref="A7:C7"/>
    <x:mergeCell ref="A8:C8"/>
    <x:mergeCell ref="A10:C10"/>
    <x:mergeCell ref="A11:C11"/>
    <x:mergeCell ref="A13:C13"/>
    <x:mergeCell ref="A14:C14"/>
    <x:mergeCell ref="A16:C16"/>
    <x:mergeCell ref="A17:C17"/>
    <x:mergeCell ref="A19:C19"/>
    <x:mergeCell ref="A20:C20"/>
    <x:mergeCell ref="A22:C22"/>
    <x:mergeCell ref="A23:C23"/>
    <x:mergeCell ref="A31:C31"/>
    <x:mergeCell ref="B32:C32"/>
    <x:mergeCell ref="B33:C33"/>
    <x:mergeCell ref="B34:C34"/>
    <x:mergeCell ref="E1:T2"/>
    <x:mergeCell ref="E3:T3"/>
    <x:mergeCell ref="E5:F5"/>
    <x:mergeCell ref="E6:F8"/>
    <x:mergeCell ref="G5:H5"/>
    <x:mergeCell ref="G6:H8"/>
    <x:mergeCell ref="I5:J5"/>
    <x:mergeCell ref="I6:J8"/>
    <x:mergeCell ref="K5:L5"/>
    <x:mergeCell ref="K6:L8"/>
    <x:mergeCell ref="N5:O5"/>
    <x:mergeCell ref="N6:O8"/>
    <x:mergeCell ref="P5:Q5"/>
    <x:mergeCell ref="P6:Q8"/>
    <x:mergeCell ref="R5:T5"/>
    <x:mergeCell ref="R6:T8"/>
    <x:mergeCell ref="E10:L10"/>
    <x:mergeCell ref="N10:T10"/>
    <x:mergeCell ref="E26:L26"/>
    <x:mergeCell ref="N26:T26"/>
    <x:mergeCell ref="H12:I12"/>
    <x:mergeCell ref="J12:K12"/>
    <x:mergeCell ref="H13:I13"/>
    <x:mergeCell ref="J13:K13"/>
    <x:mergeCell ref="H14:I14"/>
    <x:mergeCell ref="J14:K14"/>
    <x:mergeCell ref="H15:I15"/>
    <x:mergeCell ref="J15:K15"/>
    <x:mergeCell ref="H16:I16"/>
    <x:mergeCell ref="J16:K16"/>
    <x:mergeCell ref="H17:I17"/>
    <x:mergeCell ref="J17:K17"/>
    <x:mergeCell ref="H18:I18"/>
    <x:mergeCell ref="J18:K18"/>
    <x:mergeCell ref="H19:I19"/>
    <x:mergeCell ref="J19:K19"/>
    <x:mergeCell ref="Q18:R18"/>
    <x:mergeCell ref="S18:T18"/>
    <x:mergeCell ref="Q19:R19"/>
    <x:mergeCell ref="S19:T19"/>
    <x:mergeCell ref="Q20:R20"/>
    <x:mergeCell ref="S20:T20"/>
    <x:mergeCell ref="Q21:R21"/>
    <x:mergeCell ref="S21:T21"/>
    <x:mergeCell ref="Q22:R22"/>
    <x:mergeCell ref="S22:T22"/>
    <x:mergeCell ref="G28:I28"/>
    <x:mergeCell ref="G29:I29"/>
    <x:mergeCell ref="G30:I30"/>
    <x:mergeCell ref="G31:I31"/>
    <x:mergeCell ref="G32:I32"/>
    <x:mergeCell ref="G33:I33"/>
    <x:mergeCell ref="G34:I34"/>
    <x:mergeCell ref="G35:I35"/>
    <x:mergeCell ref="Q28:S28"/>
    <x:mergeCell ref="Q29:S29"/>
    <x:mergeCell ref="Q30:S30"/>
    <x:mergeCell ref="Q31:S31"/>
    <x:mergeCell ref="Q32:S32"/>
    <x:mergeCell ref="N36:T36"/>
    <x:mergeCell ref="N37:T40"/>
    <x:mergeCell ref="E42:T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40" hidden="0" customWidth="1"/>
  </x:cols>
  <x:sheetData>
    <x:row r="1">
      <x:c r="A1" s="6" t="str">
        <x:v>StillOak Studio • Weekly Planning System</x:v>
      </x:c>
      <x:c r="B1" s="6"/>
      <x:c r="C1" s="6"/>
      <x:c r="D1" s="6"/>
    </x:row>
    <x:row r="3">
      <x:c r="A3" s="16" t="str">
        <x:v>Quick Start</x:v>
      </x:c>
      <x:c r="B3" s="16" t="str">
        <x:v>What to update</x:v>
      </x:c>
      <x:c r="C3" s="16" t="str">
        <x:v>Where to check</x:v>
      </x:c>
      <x:c r="D3" s="16" t="str">
        <x:v>Best practice</x:v>
      </x:c>
    </x:row>
    <x:row r="4">
      <x:c r="A4" s="36" t="str">
        <x:v>1</x:v>
      </x:c>
      <x:c r="B4" s="36" t="str">
        <x:v>Update Weekly Plan</x:v>
      </x:c>
      <x:c r="C4" s="36" t="str">
        <x:v>Dashboard</x:v>
      </x:c>
      <x:c r="D4" s="36" t="str">
        <x:v>Plan top 3 priorities before adding tasks</x:v>
      </x:c>
    </x:row>
    <x:row r="5">
      <x:c r="A5" s="36" t="str">
        <x:v>2</x:v>
      </x:c>
      <x:c r="B5" s="36" t="str">
        <x:v>Fill Task Tracker</x:v>
      </x:c>
      <x:c r="C5" s="36" t="str">
        <x:v>Priority Summary</x:v>
      </x:c>
      <x:c r="D5" s="36" t="str">
        <x:v>Use one status per task</x:v>
      </x:c>
    </x:row>
    <x:row r="6">
      <x:c r="A6" s="36" t="str">
        <x:v>3</x:v>
      </x:c>
      <x:c r="B6" s="36" t="str">
        <x:v>Review Dashboard</x:v>
      </x:c>
      <x:c r="C6" s="36" t="str">
        <x:v>KPI Cards</x:v>
      </x:c>
      <x:c r="D6" s="36" t="str">
        <x:v>Protect focus blocks</x:v>
      </x:c>
    </x:row>
    <x:row r="7">
      <x:c r="A7" s="36" t="str">
        <x:v>4</x:v>
      </x:c>
      <x:c r="B7" s="36" t="str">
        <x:v>Complete Weekly Review</x:v>
      </x:c>
      <x:c r="C7" s="36" t="str">
        <x:v>Weekly Review</x:v>
      </x:c>
      <x:c r="D7" s="36" t="str">
        <x:v>Write 3 action steps</x:v>
      </x:c>
    </x:row>
    <x:row r="8">
      <x:c r="A8" s="36" t="str">
        <x:v>5</x:v>
      </x:c>
      <x:c r="B8" s="36" t="str">
        <x:v>Plan next week</x:v>
      </x:c>
      <x:c r="C8" s="36" t="str">
        <x:v>Priority Matrix</x:v>
      </x:c>
      <x:c r="D8" s="36" t="str">
        <x:v>Reduce low-priority work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2" hidden="0" customWidth="1"/>
    <x:col min="9" max="9" width="24" hidden="0" customWidth="1"/>
    <x:col min="10" max="10" width="10" hidden="0" customWidth="1"/>
  </x:cols>
  <x:sheetData>
    <x:row r="1">
      <x:c r="A1" s="6" t="str">
        <x:v>Weekly Plan • Focus, Priorities and Time Blocks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>
      <x:c r="A3" s="53" t="str">
        <x:v>Week Of</x:v>
      </x:c>
      <x:c r="B3" s="56" t="n">
        <x:v>46160</x:v>
      </x:c>
      <x:c r="C3" s="46" t="str">
        <x:v>Main Weekly Focus</x:v>
      </x:c>
      <x:c r="D3" s="46" t="str">
        <x:v>Launch better digital product workflow</x:v>
      </x:c>
      <x:c r="E3" s="46" t="str">
        <x:v>Energy Goal</x:v>
      </x:c>
      <x:c r="F3" s="46" t="str">
        <x:v>Balanced</x:v>
      </x:c>
      <x:c r="G3" s="46" t="str">
        <x:v>Top Outcome</x:v>
      </x:c>
      <x:c r="H3" s="46" t="str">
        <x:v>One premium product ready</x:v>
      </x:c>
    </x:row>
    <x:row r="4">
      <x:c r="A4" s="53" t="str">
        <x:v>Weekly Objective</x:v>
      </x:c>
      <x:c r="B4" s="46" t="str">
        <x:v>Complete product, validate downloads, and prepare launch copy.</x:v>
      </x:c>
      <x:c r="C4" s="46"/>
      <x:c r="D4" s="46"/>
      <x:c r="E4" s="46"/>
      <x:c r="F4" s="46"/>
      <x:c r="G4" s="46"/>
      <x:c r="H4" s="46"/>
    </x:row>
    <x:row r="5">
      <x:c r="A5" s="53" t="str">
        <x:v>Top 3 Priorities</x:v>
      </x:c>
      <x:c r="B5" s="46" t="str">
        <x:v>1. Finalize Excel workbook</x:v>
      </x:c>
      <x:c r="C5" s="46" t="str">
        <x:v>2. Polish digital product page</x:v>
      </x:c>
      <x:c r="D5" s="46" t="str">
        <x:v>3. Test checkout/download flow</x:v>
      </x:c>
      <x:c r="E5" s="46"/>
      <x:c r="F5" s="46"/>
      <x:c r="G5" s="46"/>
      <x:c r="H5" s="46"/>
    </x:row>
    <x:row r="6">
      <x:c r="A6" s="53" t="str">
        <x:v>Notes</x:v>
      </x:c>
      <x:c r="B6" s="46" t="str">
        <x:v>Plan the week around deep work blocks and review progress every evening.</x:v>
      </x:c>
      <x:c r="C6" s="46"/>
      <x:c r="D6" s="46"/>
      <x:c r="E6" s="46"/>
      <x:c r="F6" s="46"/>
      <x:c r="G6" s="46"/>
      <x:c r="H6" s="46"/>
    </x:row>
    <x:row r="7">
      <x:c r="A7" s="46"/>
      <x:c r="B7" s="46"/>
      <x:c r="C7" s="46"/>
      <x:c r="D7" s="46"/>
      <x:c r="E7" s="46"/>
      <x:c r="F7" s="46"/>
      <x:c r="G7" s="46"/>
      <x:c r="H7" s="46"/>
    </x:row>
    <x:row r="10">
      <x:c r="A10" s="26" t="str">
        <x:v>Day</x:v>
      </x:c>
      <x:c r="B10" s="26" t="str">
        <x:v>Primary Focus</x:v>
      </x:c>
      <x:c r="C10" s="26" t="str">
        <x:v>Top Priority</x:v>
      </x:c>
      <x:c r="D10" s="26" t="str">
        <x:v>Deep Work Block</x:v>
      </x:c>
      <x:c r="E10" s="26" t="str">
        <x:v>Planned Hours</x:v>
      </x:c>
      <x:c r="F10" s="26" t="str">
        <x:v>Actual Hours</x:v>
      </x:c>
      <x:c r="G10" s="26" t="str">
        <x:v>Status</x:v>
      </x:c>
      <x:c r="H10" s="26" t="str">
        <x:v>Energy</x:v>
      </x:c>
      <x:c r="I10" s="26" t="str">
        <x:v>Notes</x:v>
      </x:c>
      <x:c r="J10" s="26" t="str">
        <x:v>Score</x:v>
      </x:c>
    </x:row>
    <x:row r="11">
      <x:c r="A11" s="36" t="str">
        <x:v>Monday</x:v>
      </x:c>
      <x:c r="B11" s="36" t="str">
        <x:v>Planning</x:v>
      </x:c>
      <x:c r="C11" s="36" t="str">
        <x:v>Map weekly priorities</x:v>
      </x:c>
      <x:c r="D11" s="36" t="str">
        <x:v>09:00-11:00</x:v>
      </x:c>
      <x:c r="E11" s="36" t="n">
        <x:v>2</x:v>
      </x:c>
      <x:c r="F11" s="36" t="n">
        <x:v>2</x:v>
      </x:c>
      <x:c r="G11" s="36" t="str">
        <x:v>Done</x:v>
      </x:c>
      <x:c r="H11" s="36" t="str">
        <x:v>High</x:v>
      </x:c>
      <x:c r="I11" s="36" t="str">
        <x:v>Strong start</x:v>
      </x:c>
      <x:c r="J11" s="36" t="n">
        <x:v>100</x:v>
      </x:c>
    </x:row>
    <x:row r="12">
      <x:c r="A12" s="36" t="str">
        <x:v>Tuesday</x:v>
      </x:c>
      <x:c r="B12" s="36" t="str">
        <x:v>Product</x:v>
      </x:c>
      <x:c r="C12" s="36" t="str">
        <x:v>Build Excel dashboard</x:v>
      </x:c>
      <x:c r="D12" s="36" t="str">
        <x:v>10:00-12:00</x:v>
      </x:c>
      <x:c r="E12" s="36" t="n">
        <x:v>3</x:v>
      </x:c>
      <x:c r="F12" s="36" t="n">
        <x:v>2.5</x:v>
      </x:c>
      <x:c r="G12" s="36" t="str">
        <x:v>In Progress</x:v>
      </x:c>
      <x:c r="H12" s="36" t="str">
        <x:v>Medium</x:v>
      </x:c>
      <x:c r="I12" s="36" t="str">
        <x:v>Continue polishing</x:v>
      </x:c>
      <x:c r="J12" s="36" t="n">
        <x:v>60</x:v>
      </x:c>
    </x:row>
    <x:row r="13">
      <x:c r="A13" s="36" t="str">
        <x:v>Wednesday</x:v>
      </x:c>
      <x:c r="B13" s="36" t="str">
        <x:v>Website</x:v>
      </x:c>
      <x:c r="C13" s="36" t="str">
        <x:v>Connect downloads</x:v>
      </x:c>
      <x:c r="D13" s="36" t="str">
        <x:v>09:00-11:30</x:v>
      </x:c>
      <x:c r="E13" s="36" t="n">
        <x:v>2.5</x:v>
      </x:c>
      <x:c r="F13" s="36" t="n">
        <x:v>0</x:v>
      </x:c>
      <x:c r="G13" s="36" t="str">
        <x:v>Not Started</x:v>
      </x:c>
      <x:c r="H13" s="36" t="str">
        <x:v>Medium</x:v>
      </x:c>
      <x:c r="I13" s="36" t="str"/>
      <x:c r="J13" s="36" t="n">
        <x:v>0</x:v>
      </x:c>
    </x:row>
    <x:row r="14">
      <x:c r="A14" s="36" t="str">
        <x:v>Thursday</x:v>
      </x:c>
      <x:c r="B14" s="36" t="str">
        <x:v>Testing</x:v>
      </x:c>
      <x:c r="C14" s="36" t="str">
        <x:v>Check purchase flow</x:v>
      </x:c>
      <x:c r="D14" s="36" t="str">
        <x:v>13:00-15:00</x:v>
      </x:c>
      <x:c r="E14" s="36" t="n">
        <x:v>2</x:v>
      </x:c>
      <x:c r="F14" s="36" t="n">
        <x:v>0</x:v>
      </x:c>
      <x:c r="G14" s="36" t="str">
        <x:v>Not Started</x:v>
      </x:c>
      <x:c r="H14" s="36" t="str">
        <x:v>High</x:v>
      </x:c>
      <x:c r="I14" s="36" t="str"/>
      <x:c r="J14" s="36" t="n">
        <x:v>0</x:v>
      </x:c>
    </x:row>
    <x:row r="15">
      <x:c r="A15" s="36" t="str">
        <x:v>Friday</x:v>
      </x:c>
      <x:c r="B15" s="36" t="str">
        <x:v>Launch</x:v>
      </x:c>
      <x:c r="C15" s="36" t="str">
        <x:v>Prepare product card</x:v>
      </x:c>
      <x:c r="D15" s="36" t="str">
        <x:v>10:00-12:00</x:v>
      </x:c>
      <x:c r="E15" s="36" t="n">
        <x:v>2</x:v>
      </x:c>
      <x:c r="F15" s="36" t="n">
        <x:v>0</x:v>
      </x:c>
      <x:c r="G15" s="36" t="str">
        <x:v>Not Started</x:v>
      </x:c>
      <x:c r="H15" s="36" t="str">
        <x:v>Medium</x:v>
      </x:c>
      <x:c r="I15" s="36" t="str"/>
      <x:c r="J15" s="36" t="n">
        <x:v>0</x:v>
      </x:c>
    </x:row>
    <x:row r="16">
      <x:c r="A16" s="36" t="str">
        <x:v>Saturday</x:v>
      </x:c>
      <x:c r="B16" s="36" t="str">
        <x:v>Review</x:v>
      </x:c>
      <x:c r="C16" s="36" t="str">
        <x:v>Clean up tasks</x:v>
      </x:c>
      <x:c r="D16" s="36" t="str">
        <x:v>11:00-12:00</x:v>
      </x:c>
      <x:c r="E16" s="36" t="n">
        <x:v>1</x:v>
      </x:c>
      <x:c r="F16" s="36" t="n">
        <x:v>0</x:v>
      </x:c>
      <x:c r="G16" s="36" t="str">
        <x:v>Not Started</x:v>
      </x:c>
      <x:c r="H16" s="36" t="str">
        <x:v>Low</x:v>
      </x:c>
      <x:c r="I16" s="36" t="str"/>
      <x:c r="J16" s="36" t="n">
        <x:v>0</x:v>
      </x:c>
    </x:row>
    <x:row r="17">
      <x:c r="A17" s="36" t="str">
        <x:v>Sunday</x:v>
      </x:c>
      <x:c r="B17" s="36" t="str">
        <x:v>Reflection</x:v>
      </x:c>
      <x:c r="C17" s="36" t="str">
        <x:v>Weekly review</x:v>
      </x:c>
      <x:c r="D17" s="36" t="str">
        <x:v>17:00-18:00</x:v>
      </x:c>
      <x:c r="E17" s="36" t="n">
        <x:v>1</x:v>
      </x:c>
      <x:c r="F17" s="36" t="n">
        <x:v>0</x:v>
      </x:c>
      <x:c r="G17" s="36" t="str">
        <x:v>Not Started</x:v>
      </x:c>
      <x:c r="H17" s="36" t="str">
        <x:v>Low</x:v>
      </x:c>
      <x:c r="I17" s="36" t="str"/>
      <x:c r="J17" s="36" t="n">
        <x:v>0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4" hidden="0" customWidth="1"/>
    <x:col min="4" max="4" width="12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0" hidden="0" customWidth="1"/>
    <x:col min="12" max="12" width="24" hidden="0" customWidth="1"/>
  </x:cols>
  <x:sheetData>
    <x:row r="1">
      <x:c r="A1" s="6" t="str">
        <x:v>Task Tracker • Weekly Execution List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4">
      <x:c r="A4" s="16" t="str">
        <x:v>ID</x:v>
      </x:c>
      <x:c r="B4" s="16" t="str">
        <x:v>Task</x:v>
      </x:c>
      <x:c r="C4" s="16" t="str">
        <x:v>Area</x:v>
      </x:c>
      <x:c r="D4" s="16" t="str">
        <x:v>Priority</x:v>
      </x:c>
      <x:c r="E4" s="16" t="str">
        <x:v>Status</x:v>
      </x:c>
      <x:c r="F4" s="16" t="str">
        <x:v>Due Date</x:v>
      </x:c>
      <x:c r="G4" s="16" t="str">
        <x:v>Planned Hours</x:v>
      </x:c>
      <x:c r="H4" s="16" t="str">
        <x:v>Actual Hours</x:v>
      </x:c>
      <x:c r="I4" s="16" t="str">
        <x:v>Overdue?</x:v>
      </x:c>
      <x:c r="J4" s="16" t="str">
        <x:v>Completion %</x:v>
      </x:c>
      <x:c r="K4" s="16" t="str">
        <x:v>Impact</x:v>
      </x:c>
      <x:c r="L4" s="16" t="str">
        <x:v>Notes</x:v>
      </x:c>
    </x:row>
    <x:row r="5">
      <x:c r="A5" s="36" t="n">
        <x:v>1</x:v>
      </x:c>
      <x:c r="B5" s="36" t="str">
        <x:v>Map weekly plan and objectives</x:v>
      </x:c>
      <x:c r="C5" s="36" t="str">
        <x:v>Operations</x:v>
      </x:c>
      <x:c r="D5" s="36" t="str">
        <x:v>High</x:v>
      </x:c>
      <x:c r="E5" s="36" t="str">
        <x:v>Done</x:v>
      </x:c>
      <x:c r="F5" s="58" t="n">
        <x:v>46160</x:v>
      </x:c>
      <x:c r="G5" s="36" t="n">
        <x:v>1.5</x:v>
      </x:c>
      <x:c r="H5" s="36" t="n">
        <x:v>1.5</x:v>
      </x:c>
      <x:c r="I5" s="36" t="str">
        <x:v>On time</x:v>
      </x:c>
      <x:c r="J5" s="60" t="n">
        <x:v>1</x:v>
      </x:c>
      <x:c r="K5" s="36" t="n">
        <x:v>5</x:v>
      </x:c>
      <x:c r="L5" s="36" t="str">
        <x:v>Set the direction</x:v>
      </x:c>
    </x:row>
    <x:row r="6">
      <x:c r="A6" s="36" t="n">
        <x:v>2</x:v>
      </x:c>
      <x:c r="B6" s="36" t="str">
        <x:v>Create Weekly Planning System workbook</x:v>
      </x:c>
      <x:c r="C6" s="36" t="str">
        <x:v>Product</x:v>
      </x:c>
      <x:c r="D6" s="36" t="str">
        <x:v>High</x:v>
      </x:c>
      <x:c r="E6" s="36" t="str">
        <x:v>In Progress</x:v>
      </x:c>
      <x:c r="F6" s="58" t="n">
        <x:v>46161</x:v>
      </x:c>
      <x:c r="G6" s="36" t="n">
        <x:v>3</x:v>
      </x:c>
      <x:c r="H6" s="36" t="n">
        <x:v>2</x:v>
      </x:c>
      <x:c r="I6" s="36" t="str">
        <x:v>On time</x:v>
      </x:c>
      <x:c r="J6" s="60" t="n">
        <x:v>0.5</x:v>
      </x:c>
      <x:c r="K6" s="36" t="n">
        <x:v>5</x:v>
      </x:c>
      <x:c r="L6" s="36" t="str">
        <x:v>Premium Excel model</x:v>
      </x:c>
    </x:row>
    <x:row r="7">
      <x:c r="A7" s="36" t="n">
        <x:v>3</x:v>
      </x:c>
      <x:c r="B7" s="36" t="str">
        <x:v>Polish dashboard layout</x:v>
      </x:c>
      <x:c r="C7" s="36" t="str">
        <x:v>Product</x:v>
      </x:c>
      <x:c r="D7" s="36" t="str">
        <x:v>High</x:v>
      </x:c>
      <x:c r="E7" s="36" t="str">
        <x:v>In Progress</x:v>
      </x:c>
      <x:c r="F7" s="58" t="n">
        <x:v>46161</x:v>
      </x:c>
      <x:c r="G7" s="36" t="n">
        <x:v>2</x:v>
      </x:c>
      <x:c r="H7" s="36" t="n">
        <x:v>1</x:v>
      </x:c>
      <x:c r="I7" s="36" t="str">
        <x:v>On time</x:v>
      </x:c>
      <x:c r="J7" s="60" t="n">
        <x:v>0.5</x:v>
      </x:c>
      <x:c r="K7" s="36" t="n">
        <x:v>5</x:v>
      </x:c>
      <x:c r="L7" s="36" t="str">
        <x:v>Focus on visuals</x:v>
      </x:c>
    </x:row>
    <x:row r="8">
      <x:c r="A8" s="36" t="n">
        <x:v>4</x:v>
      </x:c>
      <x:c r="B8" s="36" t="str">
        <x:v>Prepare digital product page copy</x:v>
      </x:c>
      <x:c r="C8" s="36" t="str">
        <x:v>Marketing</x:v>
      </x:c>
      <x:c r="D8" s="36" t="str">
        <x:v>Medium</x:v>
      </x:c>
      <x:c r="E8" s="36" t="str">
        <x:v>Not Started</x:v>
      </x:c>
      <x:c r="F8" s="58" t="n">
        <x:v>46162</x:v>
      </x:c>
      <x:c r="G8" s="36" t="n">
        <x:v>1.5</x:v>
      </x:c>
      <x:c r="H8" s="36" t="n">
        <x:v>0</x:v>
      </x:c>
      <x:c r="I8" s="36" t="str">
        <x:v>On time</x:v>
      </x:c>
      <x:c r="J8" s="60" t="n">
        <x:v>0</x:v>
      </x:c>
      <x:c r="K8" s="36" t="n">
        <x:v>4</x:v>
      </x:c>
      <x:c r="L8" s="36" t="str">
        <x:v>Product description</x:v>
      </x:c>
    </x:row>
    <x:row r="9">
      <x:c r="A9" s="36" t="n">
        <x:v>5</x:v>
      </x:c>
      <x:c r="B9" s="36" t="str">
        <x:v>Test admin downloads</x:v>
      </x:c>
      <x:c r="C9" s="36" t="str">
        <x:v>Operations</x:v>
      </x:c>
      <x:c r="D9" s="36" t="str">
        <x:v>High</x:v>
      </x:c>
      <x:c r="E9" s="36" t="str">
        <x:v>Not Started</x:v>
      </x:c>
      <x:c r="F9" s="58" t="n">
        <x:v>46163</x:v>
      </x:c>
      <x:c r="G9" s="36" t="n">
        <x:v>1</x:v>
      </x:c>
      <x:c r="H9" s="36" t="n">
        <x:v>0</x:v>
      </x:c>
      <x:c r="I9" s="36" t="str">
        <x:v>On time</x:v>
      </x:c>
      <x:c r="J9" s="60" t="n">
        <x:v>0</x:v>
      </x:c>
      <x:c r="K9" s="36" t="n">
        <x:v>5</x:v>
      </x:c>
      <x:c r="L9" s="36" t="str">
        <x:v>File access</x:v>
      </x:c>
    </x:row>
    <x:row r="10">
      <x:c r="A10" s="36" t="n">
        <x:v>6</x:v>
      </x:c>
      <x:c r="B10" s="36" t="str">
        <x:v>Review checkout flow</x:v>
      </x:c>
      <x:c r="C10" s="36" t="str">
        <x:v>Finance</x:v>
      </x:c>
      <x:c r="D10" s="36" t="str">
        <x:v>High</x:v>
      </x:c>
      <x:c r="E10" s="36" t="str">
        <x:v>Not Started</x:v>
      </x:c>
      <x:c r="F10" s="58" t="n">
        <x:v>46163</x:v>
      </x:c>
      <x:c r="G10" s="36" t="n">
        <x:v>1.5</x:v>
      </x:c>
      <x:c r="H10" s="36" t="n">
        <x:v>0</x:v>
      </x:c>
      <x:c r="I10" s="36" t="str">
        <x:v>On time</x:v>
      </x:c>
      <x:c r="J10" s="60" t="n">
        <x:v>0</x:v>
      </x:c>
      <x:c r="K10" s="36" t="n">
        <x:v>5</x:v>
      </x:c>
      <x:c r="L10" s="36" t="str">
        <x:v>Stripe one-time purchase</x:v>
      </x:c>
    </x:row>
    <x:row r="11">
      <x:c r="A11" s="36" t="n">
        <x:v>7</x:v>
      </x:c>
      <x:c r="B11" s="36" t="str">
        <x:v>Write launch checklist</x:v>
      </x:c>
      <x:c r="C11" s="36" t="str">
        <x:v>Operations</x:v>
      </x:c>
      <x:c r="D11" s="36" t="str">
        <x:v>Medium</x:v>
      </x:c>
      <x:c r="E11" s="36" t="str">
        <x:v>Not Started</x:v>
      </x:c>
      <x:c r="F11" s="58" t="n">
        <x:v>46164</x:v>
      </x:c>
      <x:c r="G11" s="36" t="n">
        <x:v>1</x:v>
      </x:c>
      <x:c r="H11" s="36" t="n">
        <x:v>0</x:v>
      </x:c>
      <x:c r="I11" s="36" t="str">
        <x:v>On time</x:v>
      </x:c>
      <x:c r="J11" s="60" t="n">
        <x:v>0</x:v>
      </x:c>
      <x:c r="K11" s="36" t="n">
        <x:v>3</x:v>
      </x:c>
      <x:c r="L11" s="36" t="str">
        <x:v>Before deployment</x:v>
      </x:c>
    </x:row>
    <x:row r="12">
      <x:c r="A12" s="36" t="n">
        <x:v>8</x:v>
      </x:c>
      <x:c r="B12" s="36" t="str">
        <x:v>Create social post ideas</x:v>
      </x:c>
      <x:c r="C12" s="36" t="str">
        <x:v>Marketing</x:v>
      </x:c>
      <x:c r="D12" s="36" t="str">
        <x:v>Low</x:v>
      </x:c>
      <x:c r="E12" s="36" t="str">
        <x:v>Deferred</x:v>
      </x:c>
      <x:c r="F12" s="58" t="n">
        <x:v>46165</x:v>
      </x:c>
      <x:c r="G12" s="36" t="n">
        <x:v>1</x:v>
      </x:c>
      <x:c r="H12" s="36" t="n">
        <x:v>0</x:v>
      </x:c>
      <x:c r="I12" s="36" t="str">
        <x:v>On time</x:v>
      </x:c>
      <x:c r="J12" s="60" t="n">
        <x:v>0</x:v>
      </x:c>
      <x:c r="K12" s="36" t="n">
        <x:v>2</x:v>
      </x:c>
      <x:c r="L12" s="36" t="str">
        <x:v>Launch content</x:v>
      </x:c>
    </x:row>
    <x:row r="13">
      <x:c r="A13" s="36" t="n">
        <x:v>9</x:v>
      </x:c>
      <x:c r="B13" s="36" t="str">
        <x:v>Update Notion tracker</x:v>
      </x:c>
      <x:c r="C13" s="36" t="str">
        <x:v>Operations</x:v>
      </x:c>
      <x:c r="D13" s="36" t="str">
        <x:v>Medium</x:v>
      </x:c>
      <x:c r="E13" s="36" t="str">
        <x:v>Not Started</x:v>
      </x:c>
      <x:c r="F13" s="58" t="n">
        <x:v>46166</x:v>
      </x:c>
      <x:c r="G13" s="36" t="n">
        <x:v>0.5</x:v>
      </x:c>
      <x:c r="H13" s="36" t="n">
        <x:v>0</x:v>
      </x:c>
      <x:c r="I13" s="36" t="str">
        <x:v>On time</x:v>
      </x:c>
      <x:c r="J13" s="60" t="n">
        <x:v>0</x:v>
      </x:c>
      <x:c r="K13" s="36" t="n">
        <x:v>3</x:v>
      </x:c>
      <x:c r="L13" s="36" t="str">
        <x:v>Project tracking</x:v>
      </x:c>
    </x:row>
    <x:row r="14">
      <x:c r="A14" s="36" t="n">
        <x:v>10</x:v>
      </x:c>
      <x:c r="B14" s="36" t="str">
        <x:v>Weekly review and next plan</x:v>
      </x:c>
      <x:c r="C14" s="36" t="str">
        <x:v>Personal</x:v>
      </x:c>
      <x:c r="D14" s="36" t="str">
        <x:v>Medium</x:v>
      </x:c>
      <x:c r="E14" s="36" t="str">
        <x:v>Not Started</x:v>
      </x:c>
      <x:c r="F14" s="58" t="n">
        <x:v>46166</x:v>
      </x:c>
      <x:c r="G14" s="36" t="n">
        <x:v>1</x:v>
      </x:c>
      <x:c r="H14" s="36" t="n">
        <x:v>0</x:v>
      </x:c>
      <x:c r="I14" s="36" t="str">
        <x:v>On time</x:v>
      </x:c>
      <x:c r="J14" s="60" t="n">
        <x:v>0</x:v>
      </x:c>
      <x:c r="K14" s="36" t="n">
        <x:v>4</x:v>
      </x:c>
      <x:c r="L14" s="36" t="str">
        <x:v>Reflection</x:v>
      </x:c>
    </x:row>
  </x:sheetData>
  <x:mergeCells>
    <x:mergeCell ref="A1:L1"/>
  </x:mergeCells>
  <x:dataValidations count="2">
    <x:dataValidation type="list" sqref="D5:D30">
      <x:formula1>"High,Medium,Low"</x:formula1>
    </x:dataValidation>
    <x:dataValidation type="list" sqref="E5:E30">
      <x:formula1>"Not Started,In Progress,Done,Blocked,Deferred"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2" hidden="0" customWidth="1"/>
    <x:col min="4" max="4" width="32" hidden="0" customWidth="1"/>
  </x:cols>
  <x:sheetData>
    <x:row r="1">
      <x:c r="A1" s="6" t="str">
        <x:v>Priority Matrix • Decide What Deserves Attention</x:v>
      </x:c>
      <x:c r="B1" s="6"/>
      <x:c r="C1" s="6"/>
      <x:c r="D1" s="6"/>
    </x:row>
    <x:row r="3">
      <x:c r="A3" s="26" t="str">
        <x:v>Quadrant</x:v>
      </x:c>
      <x:c r="B3" s="26" t="str">
        <x:v>Meaning</x:v>
      </x:c>
      <x:c r="C3" s="26" t="str">
        <x:v>Task Count</x:v>
      </x:c>
      <x:c r="D3" s="26" t="str">
        <x:v>Recommended Action</x:v>
      </x:c>
    </x:row>
    <x:row r="4">
      <x:c r="A4" s="36" t="str">
        <x:v>High priority + not done</x:v>
      </x:c>
      <x:c r="B4" s="36" t="str">
        <x:v>Must be handled this week</x:v>
      </x:c>
      <x:c r="C4" s="36" t="n">
        <x:f>COUNTIFS('Task Tracker'!D5:D14,"High",'Task Tracker'!E5:E14,"&lt;&gt;Done")</x:f>
        <x:v>4</x:v>
      </x:c>
      <x:c r="D4" s="36" t="str">
        <x:v>Schedule deep work first.</x:v>
      </x:c>
    </x:row>
    <x:row r="5">
      <x:c r="A5" s="36" t="str">
        <x:v>Medium priority + not done</x:v>
      </x:c>
      <x:c r="B5" s="36" t="str">
        <x:v>Important but flexible</x:v>
      </x:c>
      <x:c r="C5" s="36" t="n">
        <x:f>COUNTIFS('Task Tracker'!D5:D14,"Medium",'Task Tracker'!E5:E14,"&lt;&gt;Done")</x:f>
        <x:v>4</x:v>
      </x:c>
      <x:c r="D5" s="36" t="str">
        <x:v>Plan after high priority.</x:v>
      </x:c>
    </x:row>
    <x:row r="6">
      <x:c r="A6" s="36" t="str">
        <x:v>Low priority + not done</x:v>
      </x:c>
      <x:c r="B6" s="36" t="str">
        <x:v>Optional or can wait</x:v>
      </x:c>
      <x:c r="C6" s="36" t="n">
        <x:f>COUNTIFS('Task Tracker'!D5:D14,"Low",'Task Tracker'!E5:E14,"&lt;&gt;Done")</x:f>
        <x:v>1</x:v>
      </x:c>
      <x:c r="D6" s="36" t="str">
        <x:v>Batch or defer.</x:v>
      </x:c>
    </x:row>
    <x:row r="7">
      <x:c r="A7" s="36" t="str">
        <x:v>Blocked</x:v>
      </x:c>
      <x:c r="B7" s="36" t="str">
        <x:v>Requires decision or external input</x:v>
      </x:c>
      <x:c r="C7" s="36" t="n">
        <x:f>COUNTIF('Task Tracker'!E5:E14,"Blocked")</x:f>
        <x:v>0</x:v>
      </x:c>
      <x:c r="D7" s="36" t="str">
        <x:v>Remove blockers quickly.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Weekly Review • Reflect, Learn and Improve</x:v>
      </x:c>
      <x:c r="B1" s="6"/>
      <x:c r="C1" s="6"/>
      <x:c r="D1" s="6"/>
      <x:c r="E1" s="6"/>
      <x:c r="F1" s="6"/>
      <x:c r="G1" s="6"/>
      <x:c r="H1" s="6"/>
    </x:row>
    <x:row r="3">
      <x:c r="A3" s="63" t="str">
        <x:v>Automatic Weekly Summary</x:v>
      </x:c>
      <x:c r="B3" s="63"/>
      <x:c r="C3" s="63"/>
      <x:c r="D3" s="63"/>
      <x:c r="E3" s="63"/>
      <x:c r="F3" s="63"/>
      <x:c r="G3" s="63"/>
      <x:c r="H3" s="63"/>
    </x:row>
    <x:row r="4">
      <x:c r="A4" s="67" t="str">
        <x:v>Total Tasks</x:v>
      </x:c>
      <x:c r="B4" s="67"/>
      <x:c r="C4" s="67" t="str">
        <x:v>Completed</x:v>
      </x:c>
      <x:c r="D4" s="67"/>
      <x:c r="E4" s="67" t="str">
        <x:v>Completion Rate</x:v>
      </x:c>
      <x:c r="F4" s="67"/>
      <x:c r="G4" s="67" t="str">
        <x:v>Overdue</x:v>
      </x:c>
      <x:c r="H4" s="67"/>
    </x:row>
    <x:row r="5">
      <x:c r="A5" s="67" t="n">
        <x:f>COUNTA('Task Tracker'!A5:A14)</x:f>
        <x:v>10</x:v>
      </x:c>
      <x:c r="B5" s="67"/>
      <x:c r="C5" s="67" t="n">
        <x:f>COUNTIF('Task Tracker'!E5:E14,"Done")</x:f>
        <x:v>1</x:v>
      </x:c>
      <x:c r="D5" s="67"/>
      <x:c r="E5" s="70" t="n">
        <x:f>IFERROR(COUNTIF('Task Tracker'!E5:E14,"Done")/COUNTA('Task Tracker'!A5:A14),0)</x:f>
        <x:v>0.1</x:v>
      </x:c>
      <x:c r="F5" s="67"/>
      <x:c r="G5" s="67" t="n">
        <x:f>COUNTIF('Task Tracker'!I5:I14,"Overdue")</x:f>
        <x:v>0</x:v>
      </x:c>
      <x:c r="H5" s="67"/>
    </x:row>
    <x:row r="6">
      <x:c r="A6" s="67" t="str">
        <x:v>Planned Hours</x:v>
      </x:c>
      <x:c r="B6" s="67"/>
      <x:c r="C6" s="67" t="str">
        <x:v>Actual Hours</x:v>
      </x:c>
      <x:c r="D6" s="67"/>
      <x:c r="E6" s="70" t="str">
        <x:v>Focus Efficiency</x:v>
      </x:c>
      <x:c r="F6" s="67"/>
      <x:c r="G6" s="67" t="str">
        <x:v>Weekly Score</x:v>
      </x:c>
      <x:c r="H6" s="67"/>
    </x:row>
    <x:row r="7">
      <x:c r="A7" s="67" t="n">
        <x:f>SUM('Weekly Plan'!E11:E17)</x:f>
        <x:v>13.5</x:v>
      </x:c>
      <x:c r="B7" s="67"/>
      <x:c r="C7" s="67" t="n">
        <x:f>SUM('Weekly Plan'!F11:F17)</x:f>
        <x:v>4.5</x:v>
      </x:c>
      <x:c r="D7" s="67"/>
      <x:c r="E7" s="70" t="n">
        <x:f>IFERROR(C7/A7,0)</x:f>
        <x:v>0.3333333333333333</x:v>
      </x:c>
      <x:c r="F7" s="67"/>
      <x:c r="G7" s="67" t="n">
        <x:f>ROUND(AVERAGE('Weekly Plan'!J11:J17),0)</x:f>
        <x:v>23</x:v>
      </x:c>
      <x:c r="H7" s="67"/>
    </x:row>
    <x:row r="10">
      <x:c r="A10" s="73" t="str">
        <x:v>Guided Reflection</x:v>
      </x:c>
      <x:c r="B10" s="73"/>
      <x:c r="C10" s="73"/>
      <x:c r="D10" s="73"/>
      <x:c r="E10" s="73"/>
      <x:c r="F10" s="73"/>
      <x:c r="G10" s="73"/>
      <x:c r="H10" s="73"/>
    </x:row>
    <x:row r="11">
      <x:c r="A11" s="77" t="str">
        <x:v>What went well this week?</x:v>
      </x:c>
      <x:c r="B11" s="36"/>
      <x:c r="C11" s="36"/>
      <x:c r="D11" s="36"/>
      <x:c r="E11" s="36"/>
      <x:c r="F11" s="36"/>
      <x:c r="G11" s="36"/>
      <x:c r="H11" s="36"/>
    </x:row>
    <x:row r="12">
      <x:c r="A12" s="77" t="str">
        <x:v>Biggest challenge</x:v>
      </x:c>
      <x:c r="B12" s="36"/>
      <x:c r="C12" s="36"/>
      <x:c r="D12" s="36"/>
      <x:c r="E12" s="36"/>
      <x:c r="F12" s="36"/>
      <x:c r="G12" s="36"/>
      <x:c r="H12" s="36"/>
    </x:row>
    <x:row r="13">
      <x:c r="A13" s="77" t="str">
        <x:v>What should be reduced next week?</x:v>
      </x:c>
      <x:c r="B13" s="36"/>
      <x:c r="C13" s="36"/>
      <x:c r="D13" s="36"/>
      <x:c r="E13" s="36"/>
      <x:c r="F13" s="36"/>
      <x:c r="G13" s="36"/>
      <x:c r="H13" s="36"/>
    </x:row>
    <x:row r="14">
      <x:c r="A14" s="77" t="str">
        <x:v>Top lesson</x:v>
      </x:c>
      <x:c r="B14" s="36"/>
      <x:c r="C14" s="36"/>
      <x:c r="D14" s="36"/>
      <x:c r="E14" s="36"/>
      <x:c r="F14" s="36"/>
      <x:c r="G14" s="36"/>
      <x:c r="H14" s="36"/>
    </x:row>
    <x:row r="15">
      <x:c r="A15" s="77" t="str">
        <x:v>Action step 1</x:v>
      </x:c>
      <x:c r="B15" s="36"/>
      <x:c r="C15" s="36"/>
      <x:c r="D15" s="36"/>
      <x:c r="E15" s="36"/>
      <x:c r="F15" s="36"/>
      <x:c r="G15" s="36"/>
      <x:c r="H15" s="36"/>
    </x:row>
    <x:row r="16">
      <x:c r="A16" s="77" t="str">
        <x:v>Action step 2</x:v>
      </x:c>
      <x:c r="B16" s="36"/>
      <x:c r="C16" s="36"/>
      <x:c r="D16" s="36"/>
      <x:c r="E16" s="36"/>
      <x:c r="F16" s="36"/>
      <x:c r="G16" s="36"/>
      <x:c r="H16" s="36"/>
    </x:row>
    <x:row r="17">
      <x:c r="A17" s="77" t="str">
        <x:v>Action step 3</x:v>
      </x:c>
      <x:c r="B17" s="36"/>
      <x:c r="C17" s="36"/>
      <x:c r="D17" s="36"/>
      <x:c r="E17" s="36"/>
      <x:c r="F17" s="36"/>
      <x:c r="G17" s="36"/>
      <x:c r="H17" s="36"/>
    </x:row>
    <x:row r="18">
      <x:c r="A18" s="77" t="str">
        <x:v>Next week's main focus</x:v>
      </x:c>
      <x:c r="B18" s="36"/>
      <x:c r="C18" s="36"/>
      <x:c r="D18" s="36"/>
      <x:c r="E18" s="36"/>
      <x:c r="F18" s="36"/>
      <x:c r="G18" s="36"/>
      <x:c r="H18" s="36"/>
    </x:row>
  </x:sheetData>
  <x:mergeCells>
    <x:mergeCell ref="A1:H1"/>
    <x:mergeCell ref="A3:H3"/>
    <x:mergeCell ref="A10:H10"/>
    <x:mergeCell ref="B11:H11"/>
    <x:mergeCell ref="B12:H12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" hidden="0" customWidth="1"/>
    <x:col min="4" max="4" width="18" hidden="0" customWidth="1"/>
    <x:col min="5" max="5" width="32" hidden="0" customWidth="1"/>
  </x:cols>
  <x:sheetData>
    <x:row r="1">
      <x:c r="A1" s="6" t="str">
        <x:v>StillOak Studio • Weekly Planning System Settings</x:v>
      </x:c>
      <x:c r="B1" s="6"/>
      <x:c r="C1" s="6"/>
      <x:c r="D1" s="6"/>
      <x:c r="E1" s="6"/>
    </x:row>
    <x:row r="3">
      <x:c r="A3" s="16" t="str">
        <x:v>Status</x:v>
      </x:c>
      <x:c r="B3" s="16" t="str">
        <x:v>Meaning</x:v>
      </x:c>
      <x:c r="D3" s="26" t="str">
        <x:v>Priority</x:v>
      </x:c>
      <x:c r="E3" s="26" t="str">
        <x:v>Use</x:v>
      </x:c>
    </x:row>
    <x:row r="4">
      <x:c r="A4" s="36" t="str">
        <x:v>Not Started</x:v>
      </x:c>
      <x:c r="B4" s="36" t="str">
        <x:v>Task has not begun</x:v>
      </x:c>
      <x:c r="D4" s="36" t="str">
        <x:v>High</x:v>
      </x:c>
      <x:c r="E4" s="36" t="str">
        <x:v>Critical this week</x:v>
      </x:c>
    </x:row>
    <x:row r="5">
      <x:c r="A5" s="36" t="str">
        <x:v>In Progress</x:v>
      </x:c>
      <x:c r="B5" s="36" t="str">
        <x:v>Task is active</x:v>
      </x:c>
      <x:c r="D5" s="36" t="str">
        <x:v>Medium</x:v>
      </x:c>
      <x:c r="E5" s="36" t="str">
        <x:v>Important but flexible</x:v>
      </x:c>
    </x:row>
    <x:row r="6">
      <x:c r="A6" s="36" t="str">
        <x:v>Done</x:v>
      </x:c>
      <x:c r="B6" s="36" t="str">
        <x:v>Task completed</x:v>
      </x:c>
      <x:c r="D6" s="36" t="str">
        <x:v>Low</x:v>
      </x:c>
      <x:c r="E6" s="36" t="str">
        <x:v>Optional / can wait</x:v>
      </x:c>
    </x:row>
    <x:row r="7">
      <x:c r="A7" s="36" t="str">
        <x:v>Blocked</x:v>
      </x:c>
      <x:c r="B7" s="36" t="str">
        <x:v>Waiting or blocked</x:v>
      </x:c>
    </x:row>
    <x:row r="8">
      <x:c r="A8" s="36" t="str">
        <x:v>Deferred</x:v>
      </x:c>
      <x:c r="B8" s="36" t="str">
        <x:v>Moved to later</x:v>
      </x:c>
    </x:row>
    <x:row r="10">
      <x:c r="A10" s="16" t="str">
        <x:v>Area</x:v>
      </x:c>
      <x:c r="B10" s="16" t="str">
        <x:v>Example</x:v>
      </x:c>
      <x:c r="D10" s="26" t="str">
        <x:v>Day</x:v>
      </x:c>
      <x:c r="E10" s="26" t="str">
        <x:v>Order</x:v>
      </x:c>
    </x:row>
    <x:row r="11">
      <x:c r="A11" s="36" t="str">
        <x:v>Product</x:v>
      </x:c>
      <x:c r="B11" s="36" t="str">
        <x:v>Digital products, templates</x:v>
      </x:c>
      <x:c r="D11" s="36" t="str">
        <x:v>Monday</x:v>
      </x:c>
      <x:c r="E11" s="36" t="n">
        <x:v>1</x:v>
      </x:c>
    </x:row>
    <x:row r="12">
      <x:c r="A12" s="36" t="str">
        <x:v>Website</x:v>
      </x:c>
      <x:c r="B12" s="36" t="str">
        <x:v>Pages, UI, dashboard</x:v>
      </x:c>
      <x:c r="D12" s="36" t="str">
        <x:v>Tuesday</x:v>
      </x:c>
      <x:c r="E12" s="36" t="n">
        <x:v>2</x:v>
      </x:c>
    </x:row>
    <x:row r="13">
      <x:c r="A13" s="36" t="str">
        <x:v>Marketing</x:v>
      </x:c>
      <x:c r="B13" s="36" t="str">
        <x:v>Content and launch</x:v>
      </x:c>
      <x:c r="D13" s="36" t="str">
        <x:v>Wednesday</x:v>
      </x:c>
      <x:c r="E13" s="36" t="n">
        <x:v>3</x:v>
      </x:c>
    </x:row>
    <x:row r="14">
      <x:c r="A14" s="36" t="str">
        <x:v>Operations</x:v>
      </x:c>
      <x:c r="B14" s="36" t="str">
        <x:v>Admin, systems</x:v>
      </x:c>
      <x:c r="D14" s="36" t="str">
        <x:v>Thursday</x:v>
      </x:c>
      <x:c r="E14" s="36" t="n">
        <x:v>4</x:v>
      </x:c>
    </x:row>
    <x:row r="15">
      <x:c r="A15" s="36" t="str">
        <x:v>Personal</x:v>
      </x:c>
      <x:c r="B15" s="36" t="str">
        <x:v>Health, learning, life</x:v>
      </x:c>
      <x:c r="D15" s="36" t="str">
        <x:v>Friday</x:v>
      </x:c>
      <x:c r="E15" s="36" t="n">
        <x:v>5</x:v>
      </x:c>
    </x:row>
    <x:row r="16">
      <x:c r="D16" s="36" t="str">
        <x:v>Saturday</x:v>
      </x:c>
      <x:c r="E16" s="36" t="n">
        <x:v>6</x:v>
      </x:c>
    </x:row>
    <x:row r="17">
      <x:c r="D17" s="36" t="str">
        <x:v>Sunday</x:v>
      </x:c>
      <x:c r="E17" s="36" t="n">
        <x:v>7</x:v>
      </x:c>
    </x:row>
  </x:sheetData>
  <x:mergeCells>
    <x:mergeCell ref="A1:E1"/>
  </x:mergeCells>
  <x:pageMargins left="0.7" right="0.7" top="0.75" bottom="0.75" header="0.3" footer="0.3"/>
</x:worksheet>
</file>