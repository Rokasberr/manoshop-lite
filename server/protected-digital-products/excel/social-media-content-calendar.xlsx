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0231D"/>
      </patternFill>
    </fill>
    <fill>
      <patternFill patternType="solid">
        <fgColor rgb="00E8EFE8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CE5DD"/>
      </left>
      <right style="thin">
        <color rgb="00DCE5DD"/>
      </right>
      <top style="thin">
        <color rgb="00DCE5DD"/>
      </top>
      <bottom style="thin">
        <color rgb="00DCE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6" customHeight="1">
      <c r="A1" s="1" t="inlineStr">
        <is>
          <t>StillOak Studio</t>
        </is>
      </c>
      <c r="B1" s="1" t="inlineStr">
        <is>
          <t>Social Media Content Calendar</t>
        </is>
      </c>
      <c r="C1" s="1" t="inlineStr">
        <is>
          <t>Marketingas</t>
        </is>
      </c>
      <c r="D1" s="1" t="inlineStr">
        <is>
          <t>Asmeninis</t>
        </is>
      </c>
    </row>
    <row r="2">
      <c r="A2" s="2" t="inlineStr">
        <is>
          <t>Kas tai yra</t>
        </is>
      </c>
      <c r="B2" s="2" t="inlineStr">
        <is>
          <t>Turinio kalendorius savait?s ritmui, kanalams, publikavimo b?senoms ir rezultatams sekti.</t>
        </is>
      </c>
      <c r="C2" s="2" t="inlineStr"/>
      <c r="D2" s="2" t="inlineStr"/>
    </row>
    <row r="3">
      <c r="A3" s="2" t="inlineStr">
        <is>
          <t>Naudojimo eiga</t>
        </is>
      </c>
      <c r="B3" s="2" t="inlineStr">
        <is>
          <t>1. Perskaitykite PDF gid?  2. U?pildykite Inputs lap?  3. Per?i?r?kite Dashboard  4. U?ra?ykite kit? veiksm?</t>
        </is>
      </c>
      <c r="C3" s="2" t="inlineStr"/>
      <c r="D3" s="2" t="inlineStr"/>
    </row>
    <row r="4">
      <c r="A4" s="3" t="inlineStr">
        <is>
          <t>Failo versija</t>
        </is>
      </c>
      <c r="B4" s="3" t="inlineStr">
        <is>
          <t>1.0</t>
        </is>
      </c>
      <c r="C4" s="3" t="inlineStr">
        <is>
          <t>Atnaujinta</t>
        </is>
      </c>
      <c r="D4" s="3" t="inlineStr">
        <is>
          <t>2026</t>
        </is>
      </c>
    </row>
    <row r="5">
      <c r="A5" s="3" t="inlineStr">
        <is>
          <t>Pastaba</t>
        </is>
      </c>
      <c r="B5" s="3" t="inlineStr">
        <is>
          <t>Geltonai pa?ym?ti laukai skirti pildymui. Formuli? laukai automati?kai atnaujina dashboard.</t>
        </is>
      </c>
      <c r="C5" s="3" t="inlineStr"/>
      <c r="D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26" customHeight="1">
      <c r="A1" s="1" t="inlineStr">
        <is>
          <t>?ra?as</t>
        </is>
      </c>
      <c r="B1" s="1" t="inlineStr">
        <is>
          <t>Platforma</t>
        </is>
      </c>
      <c r="C1" s="1" t="inlineStr">
        <is>
          <t>B?sena</t>
        </is>
      </c>
      <c r="D1" s="1" t="inlineStr">
        <is>
          <t>Reach</t>
        </is>
      </c>
      <c r="E1" s="1" t="inlineStr">
        <is>
          <t>Engagements</t>
        </is>
      </c>
    </row>
    <row r="2">
      <c r="A2" s="3" t="inlineStr">
        <is>
          <t>Biud?eto patarimas</t>
        </is>
      </c>
      <c r="B2" s="4" t="inlineStr">
        <is>
          <t>Instagram</t>
        </is>
      </c>
      <c r="C2" s="4" t="inlineStr">
        <is>
          <t>Published</t>
        </is>
      </c>
      <c r="D2" s="4" t="n">
        <v>1200</v>
      </c>
      <c r="E2" s="4" t="n">
        <v>84</v>
      </c>
    </row>
    <row r="3">
      <c r="A3" s="3" t="inlineStr">
        <is>
          <t>Savait?s planas</t>
        </is>
      </c>
      <c r="B3" s="4" t="inlineStr">
        <is>
          <t>TikTok</t>
        </is>
      </c>
      <c r="C3" s="4" t="inlineStr">
        <is>
          <t>Published</t>
        </is>
      </c>
      <c r="D3" s="4" t="n">
        <v>2400</v>
      </c>
      <c r="E3" s="4" t="n">
        <v>180</v>
      </c>
    </row>
    <row r="4">
      <c r="A4" s="3" t="inlineStr">
        <is>
          <t>Taupymo id?ja</t>
        </is>
      </c>
      <c r="B4" s="4" t="inlineStr">
        <is>
          <t>YouTube Shorts</t>
        </is>
      </c>
      <c r="C4" s="4" t="inlineStr">
        <is>
          <t>Planned</t>
        </is>
      </c>
      <c r="D4" s="4" t="n">
        <v>0</v>
      </c>
      <c r="E4" s="4" t="n">
        <v>0</v>
      </c>
    </row>
    <row r="5">
      <c r="A5" s="3" t="inlineStr">
        <is>
          <t>Verslo mini testas</t>
        </is>
      </c>
      <c r="B5" s="4" t="inlineStr">
        <is>
          <t>TikTok</t>
        </is>
      </c>
      <c r="C5" s="4" t="inlineStr">
        <is>
          <t>Published</t>
        </is>
      </c>
      <c r="D5" s="4" t="n">
        <v>1800</v>
      </c>
      <c r="E5" s="4" t="n">
        <v>130</v>
      </c>
    </row>
    <row r="6">
      <c r="A6" s="3" t="inlineStr">
        <is>
          <t>M?nesio refleksija</t>
        </is>
      </c>
      <c r="B6" s="4" t="inlineStr">
        <is>
          <t>Instagram</t>
        </is>
      </c>
      <c r="C6" s="4" t="inlineStr">
        <is>
          <t>Draft</t>
        </is>
      </c>
      <c r="D6" s="4" t="n">
        <v>0</v>
      </c>
      <c r="E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6" customHeight="1">
      <c r="A1" s="1" t="inlineStr">
        <is>
          <t>Metrika</t>
        </is>
      </c>
      <c r="B1" s="1" t="inlineStr">
        <is>
          <t>Rezultatas</t>
        </is>
      </c>
    </row>
    <row r="2">
      <c r="A2" s="3" t="inlineStr">
        <is>
          <t>Planned posts</t>
        </is>
      </c>
      <c r="B2" s="3">
        <f>COUNTA(Inputs!A2:A100)</f>
        <v/>
      </c>
    </row>
    <row r="3">
      <c r="A3" s="3" t="inlineStr">
        <is>
          <t>Published posts</t>
        </is>
      </c>
      <c r="B3" s="3">
        <f>COUNTIF(Inputs!C:C,"Published")</f>
        <v/>
      </c>
    </row>
    <row r="4">
      <c r="A4" s="3" t="inlineStr">
        <is>
          <t>Completion %</t>
        </is>
      </c>
      <c r="B4" s="3">
        <f>IFERROR(B3/B2,0)</f>
        <v/>
      </c>
    </row>
    <row r="5">
      <c r="A5" s="3" t="inlineStr">
        <is>
          <t>Instagram posts</t>
        </is>
      </c>
      <c r="B5" s="3">
        <f>COUNTIF(Inputs!B:B,"Instagram")</f>
        <v/>
      </c>
    </row>
    <row r="6">
      <c r="A6" s="3" t="inlineStr">
        <is>
          <t>TikTok posts</t>
        </is>
      </c>
      <c r="B6" s="3">
        <f>COUNTIF(Inputs!B:B,"TikTok")</f>
        <v/>
      </c>
    </row>
    <row r="7">
      <c r="A7" s="3" t="inlineStr">
        <is>
          <t>YouTube Shorts posts</t>
        </is>
      </c>
      <c r="B7" s="3">
        <f>COUNTIF(Inputs!B:B,"YouTube Shorts")</f>
        <v/>
      </c>
    </row>
    <row r="8">
      <c r="A8" s="3" t="inlineStr">
        <is>
          <t>Average reach</t>
        </is>
      </c>
      <c r="B8" s="3">
        <f>IFERROR(AVERAGEIF(Inputs!C:C,"Published",Inputs!D:D),0)</f>
        <v/>
      </c>
    </row>
    <row r="9">
      <c r="A9" s="3" t="inlineStr">
        <is>
          <t>Engagement rate</t>
        </is>
      </c>
      <c r="B9" s="3">
        <f>IFERROR(SUM(Inputs!E:E)/SUM(Inputs!D:D),0)</f>
        <v/>
      </c>
    </row>
    <row r="10">
      <c r="A10" s="3" t="inlineStr">
        <is>
          <t>Instagram reach</t>
        </is>
      </c>
      <c r="B10" s="3">
        <f>SUMIF(Inputs!B:B,"Instagram",Inputs!D:D)</f>
        <v/>
      </c>
    </row>
    <row r="11">
      <c r="A11" s="3" t="inlineStr">
        <is>
          <t>TikTok reach</t>
        </is>
      </c>
      <c r="B11" s="3">
        <f>SUMIF(Inputs!B:B,"TikTok",Inputs!D:D)</f>
        <v/>
      </c>
    </row>
    <row r="12">
      <c r="A12" s="3" t="inlineStr">
        <is>
          <t>YouTube Shorts reach</t>
        </is>
      </c>
      <c r="B12" s="3">
        <f>SUMIF(Inputs!B:B,"YouTube Shorts",Inputs!D:D)</f>
        <v/>
      </c>
    </row>
    <row r="13">
      <c r="A13" s="3" t="inlineStr">
        <is>
          <t>Best platform</t>
        </is>
      </c>
      <c r="B13" s="3">
        <f>INDEX(A10:A12,MATCH(MAX(B10:B12),B10:B12,0))</f>
        <v/>
      </c>
    </row>
    <row r="14">
      <c r="A14" s="3" t="inlineStr">
        <is>
          <t>Content consistency score</t>
        </is>
      </c>
      <c r="B14" s="3">
        <f>ROUND(B4*100,0)</f>
        <v/>
      </c>
    </row>
    <row r="15">
      <c r="A15" s="3" t="inlineStr">
        <is>
          <t>Recommendation</t>
        </is>
      </c>
      <c r="B15" s="3">
        <f>IF(B4&lt;0.7,"Ma?inkite apimt? ir publikuokite stabiliau.",IF(B9&lt;0.03,"Per?i?r?kite hooks ir CTA.","Ritmas stiprus - t?skite."))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6" customHeight="1">
      <c r="A1" s="1" t="inlineStr">
        <is>
          <t>Rodiklis</t>
        </is>
      </c>
      <c r="B1" s="1" t="inlineStr">
        <is>
          <t>Rezultatas</t>
        </is>
      </c>
    </row>
    <row r="2">
      <c r="A2" s="3" t="inlineStr">
        <is>
          <t>Planned posts</t>
        </is>
      </c>
      <c r="B2" s="3">
        <f>Model!B2</f>
        <v/>
      </c>
    </row>
    <row r="3">
      <c r="A3" s="3" t="inlineStr">
        <is>
          <t>Published posts</t>
        </is>
      </c>
      <c r="B3" s="3">
        <f>Model!B3</f>
        <v/>
      </c>
    </row>
    <row r="4">
      <c r="A4" s="3" t="inlineStr">
        <is>
          <t>Completion %</t>
        </is>
      </c>
      <c r="B4" s="3">
        <f>Model!B4</f>
        <v/>
      </c>
    </row>
    <row r="5">
      <c r="A5" s="3" t="inlineStr">
        <is>
          <t>Posts per platform</t>
        </is>
      </c>
      <c r="B5" s="3">
        <f>Model!B5&amp;" IG / "&amp;Model!B6&amp;" TT / "&amp;Model!B7&amp;" YT"</f>
        <v/>
      </c>
    </row>
    <row r="6">
      <c r="A6" s="3" t="inlineStr">
        <is>
          <t>Average reach</t>
        </is>
      </c>
      <c r="B6" s="3">
        <f>Model!B8</f>
        <v/>
      </c>
    </row>
    <row r="7">
      <c r="A7" s="3" t="inlineStr">
        <is>
          <t>Engagement rate</t>
        </is>
      </c>
      <c r="B7" s="3">
        <f>Model!B9</f>
        <v/>
      </c>
    </row>
    <row r="8">
      <c r="A8" s="3" t="inlineStr">
        <is>
          <t>Best platform</t>
        </is>
      </c>
      <c r="B8" s="3">
        <f>Model!B13</f>
        <v/>
      </c>
    </row>
    <row r="9">
      <c r="A9" s="3" t="inlineStr">
        <is>
          <t>Content consistency score</t>
        </is>
      </c>
      <c r="B9" s="3">
        <f>Model!B14</f>
        <v/>
      </c>
    </row>
    <row r="10">
      <c r="A10" s="3" t="inlineStr">
        <is>
          <t>Recommendation</t>
        </is>
      </c>
      <c r="B10" s="3">
        <f>Model!B15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6" customHeight="1">
      <c r="A1" s="1" t="inlineStr">
        <is>
          <t>Klausimas</t>
        </is>
      </c>
      <c r="B1" s="1" t="inlineStr">
        <is>
          <t>Atsakymas</t>
        </is>
      </c>
      <c r="C1" s="1" t="inlineStr">
        <is>
          <t>Kitas veiksmas</t>
        </is>
      </c>
    </row>
    <row r="2">
      <c r="A2" s="3" t="inlineStr">
        <is>
          <t>Kas ?i? savait? ar m?nes? pajud?jo?</t>
        </is>
      </c>
      <c r="B2" s="3" t="inlineStr"/>
      <c r="C2" s="3" t="inlineStr"/>
    </row>
    <row r="3">
      <c r="A3" s="3" t="inlineStr">
        <is>
          <t>Kur kilo daugiausia trinties?</t>
        </is>
      </c>
      <c r="B3" s="3" t="inlineStr"/>
      <c r="C3" s="3" t="inlineStr"/>
    </row>
    <row r="4">
      <c r="A4" s="3" t="inlineStr">
        <is>
          <t>K? verta supaprastinti?</t>
        </is>
      </c>
      <c r="B4" s="3" t="inlineStr"/>
      <c r="C4" s="3" t="inlineStr"/>
    </row>
    <row r="5">
      <c r="A5" s="3" t="inlineStr">
        <is>
          <t>Koks vienas kitas veiksmas?</t>
        </is>
      </c>
      <c r="B5" s="3" t="inlineStr"/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2026-05-18T11:17:41Z</dcterms:created>
  <dcterms:modified xmlns:dcterms="http://purl.org/dc/terms/" xmlns:xsi="http://www.w3.org/2001/XMLSchema-instance" xsi:type="dcterms:W3CDTF">2026-05-18T11:17:41Z</dcterms:modified>
</cp:coreProperties>
</file>