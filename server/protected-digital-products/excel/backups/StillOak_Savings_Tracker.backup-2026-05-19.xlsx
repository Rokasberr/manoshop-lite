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Start Here" sheetId="2" state="visible" r:id="rId2"/>
    <sheet xmlns:r="http://schemas.openxmlformats.org/officeDocument/2006/relationships" name="Goal Setup" sheetId="3" state="visible" r:id="rId3"/>
    <sheet xmlns:r="http://schemas.openxmlformats.org/officeDocument/2006/relationships" name="Monthly Tracker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Scenario Planner" sheetId="6" state="visible" r:id="rId6"/>
    <sheet xmlns:r="http://schemas.openxmlformats.org/officeDocument/2006/relationships" name="Review &amp; Notes" sheetId="7" state="visible" r:id="rId7"/>
    <sheet xmlns:r="http://schemas.openxmlformats.org/officeDocument/2006/relationships" name="Settings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€#,##0"/>
  </numFmts>
  <fonts count="19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22"/>
    </font>
    <font>
      <name val="Carlito"/>
      <b val="1"/>
      <color rgb="001F1A17"/>
      <sz val="11"/>
    </font>
    <font>
      <name val="Carlito"/>
      <color rgb="001F1A17"/>
      <sz val="11"/>
    </font>
    <font>
      <name val="Carlito"/>
      <b val="1"/>
      <color rgb="00FFFFFF"/>
      <sz val="20"/>
    </font>
    <font>
      <name val="Carlito"/>
      <b val="1"/>
      <color rgb="00FFFFFF"/>
      <sz val="18"/>
    </font>
    <font>
      <name val="Carlito"/>
      <b val="1"/>
      <color rgb="001F1A17"/>
      <sz val="18"/>
    </font>
    <font>
      <name val="Carlito"/>
      <b val="1"/>
      <color rgb="007A7068"/>
      <sz val="11"/>
    </font>
    <font>
      <name val="Carlito"/>
      <b val="1"/>
      <color rgb="001F1A17"/>
      <sz val="16"/>
    </font>
    <font>
      <name val="Carlito"/>
      <b val="1"/>
      <color rgb="001F1A17"/>
      <sz val="12"/>
    </font>
    <font>
      <name val="Carlito"/>
      <b val="1"/>
      <color rgb="001F1A17"/>
      <sz val="13"/>
    </font>
    <font>
      <name val="Aptos"/>
      <b val="1"/>
      <color rgb="00FFFFFF"/>
      <sz val="20"/>
    </font>
    <font>
      <name val="Aptos"/>
      <i val="1"/>
      <color rgb="007A7068"/>
      <sz val="11"/>
    </font>
    <font>
      <name val="Aptos"/>
      <b val="1"/>
      <color rgb="00FFFFFF"/>
      <sz val="11"/>
    </font>
    <font>
      <name val="Aptos"/>
      <b val="1"/>
      <color rgb="001F1A17"/>
      <sz val="16"/>
    </font>
    <font>
      <name val="Aptos"/>
      <b val="1"/>
      <color rgb="001F1A17"/>
      <sz val="10"/>
    </font>
    <font>
      <name val="Aptos"/>
      <color rgb="001F1A17"/>
      <sz val="10"/>
    </font>
    <font>
      <name val="Aptos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1A17"/>
      </patternFill>
    </fill>
    <fill>
      <patternFill patternType="solid">
        <fgColor rgb="00C8A96A"/>
      </patternFill>
    </fill>
    <fill>
      <patternFill patternType="solid">
        <fgColor rgb="00FFFFFF"/>
      </patternFill>
    </fill>
    <fill>
      <patternFill patternType="solid">
        <fgColor rgb="00F4E8C7"/>
      </patternFill>
    </fill>
    <fill>
      <patternFill patternType="solid">
        <fgColor rgb="00E6F0FF"/>
      </patternFill>
    </fill>
    <fill>
      <patternFill patternType="solid">
        <fgColor rgb="00F7F3EC"/>
      </patternFill>
    </fill>
    <fill>
      <patternFill patternType="solid">
        <fgColor rgb="00E7EFE2"/>
      </patternFill>
    </fill>
    <fill>
      <patternFill patternType="solid">
        <fgColor rgb="007E8F75"/>
      </patternFill>
    </fill>
    <fill>
      <patternFill patternType="solid">
        <fgColor rgb="00FCFAF7"/>
      </patternFill>
    </fill>
    <fill>
      <patternFill patternType="solid">
        <fgColor rgb="00E9EFE7"/>
      </patternFill>
    </fill>
    <fill>
      <patternFill patternType="solid">
        <fgColor rgb="00F4ECE0"/>
      </patternFill>
    </fill>
  </fills>
  <borders count="4">
    <border/>
    <border/>
    <border>
      <left style="medium">
        <color rgb="00E8DED2"/>
      </left>
      <right style="medium">
        <color rgb="00E8DED2"/>
      </right>
      <top style="medium">
        <color rgb="00E8DED2"/>
      </top>
      <bottom style="medium">
        <color rgb="00E8DED2"/>
      </bottom>
    </border>
    <border>
      <left style="thin">
        <color rgb="00E8DED2"/>
      </left>
      <right style="thin">
        <color rgb="00E8DED2"/>
      </right>
      <top style="thin">
        <color rgb="00E8DED2"/>
      </top>
      <bottom style="thin">
        <color rgb="00E8DED2"/>
      </bottom>
    </border>
  </borders>
  <cellStyleXfs count="1">
    <xf numFmtId="0" fontId="0" fillId="0" borderId="1"/>
  </cellStyleXfs>
  <cellXfs count="17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top"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1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0" fillId="6" borderId="0" pivotButton="0" quotePrefix="0" xfId="0"/>
    <xf numFmtId="0" fontId="4" fillId="6" borderId="0" pivotButton="0" quotePrefix="0" xfId="0"/>
    <xf numFmtId="0" fontId="0" fillId="6" borderId="1" pivotButton="0" quotePrefix="0" xfId="0"/>
    <xf numFmtId="0" fontId="4" fillId="6" borderId="1" pivotButton="0" quotePrefix="0" xfId="0"/>
    <xf numFmtId="164" fontId="4" fillId="6" borderId="0" pivotButton="0" quotePrefix="0" xfId="0"/>
    <xf numFmtId="164" fontId="4" fillId="6" borderId="1" pivotButton="0" quotePrefix="0" xfId="0"/>
    <xf numFmtId="164" fontId="3" fillId="5" borderId="0" pivotButton="0" quotePrefix="0" xfId="0"/>
    <xf numFmtId="164" fontId="3" fillId="5" borderId="1" pivotButton="0" quotePrefix="0" xfId="0"/>
    <xf numFmtId="9" fontId="3" fillId="5" borderId="0" pivotButton="0" quotePrefix="0" xfId="0"/>
    <xf numFmtId="9" fontId="3" fillId="5" borderId="1" pivotButton="0" quotePrefix="0" xfId="0"/>
    <xf numFmtId="0" fontId="1" fillId="2" borderId="0" applyAlignment="1" pivotButton="0" quotePrefix="0" xfId="0">
      <alignment wrapText="1"/>
    </xf>
    <xf numFmtId="0" fontId="4" fillId="6" borderId="0" applyAlignment="1" pivotButton="0" quotePrefix="0" xfId="0">
      <alignment wrapText="1"/>
    </xf>
    <xf numFmtId="164" fontId="4" fillId="6" borderId="0" applyAlignment="1" pivotButton="0" quotePrefix="0" xfId="0">
      <alignment wrapText="1"/>
    </xf>
    <xf numFmtId="164" fontId="3" fillId="5" borderId="0" applyAlignment="1" pivotButton="0" quotePrefix="0" xfId="0">
      <alignment wrapText="1"/>
    </xf>
    <xf numFmtId="9" fontId="3" fillId="5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164" fontId="4" fillId="6" borderId="1" applyAlignment="1" pivotButton="0" quotePrefix="0" xfId="0">
      <alignment wrapText="1"/>
    </xf>
    <xf numFmtId="164" fontId="3" fillId="5" borderId="1" applyAlignment="1" pivotButton="0" quotePrefix="0" xfId="0">
      <alignment wrapText="1"/>
    </xf>
    <xf numFmtId="9" fontId="3" fillId="5" borderId="1" applyAlignment="1" pivotButton="0" quotePrefix="0" xfId="0">
      <alignment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164" fontId="4" fillId="4" borderId="0" pivotButton="0" quotePrefix="0" xfId="0"/>
    <xf numFmtId="164" fontId="0" fillId="0" borderId="0" pivotButton="0" quotePrefix="0" xfId="0"/>
    <xf numFmtId="164" fontId="1" fillId="2" borderId="0" pivotButton="0" quotePrefix="0" xfId="0"/>
    <xf numFmtId="164" fontId="4" fillId="4" borderId="1" pivotButton="0" quotePrefix="0" xfId="0"/>
    <xf numFmtId="164" fontId="0" fillId="0" borderId="1" pivotButton="0" quotePrefix="0" xfId="0"/>
    <xf numFmtId="164" fontId="1" fillId="2" borderId="1" pivotButton="0" quotePrefix="0" xfId="0"/>
    <xf numFmtId="9" fontId="4" fillId="4" borderId="0" pivotButton="0" quotePrefix="0" xfId="0"/>
    <xf numFmtId="9" fontId="0" fillId="0" borderId="0" pivotButton="0" quotePrefix="0" xfId="0"/>
    <xf numFmtId="9" fontId="1" fillId="2" borderId="0" pivotButton="0" quotePrefix="0" xfId="0"/>
    <xf numFmtId="9" fontId="4" fillId="4" borderId="1" pivotButton="0" quotePrefix="0" xfId="0"/>
    <xf numFmtId="9" fontId="0" fillId="0" borderId="1" pivotButton="0" quotePrefix="0" xfId="0"/>
    <xf numFmtId="9" fontId="1" fillId="2" borderId="1" pivotButton="0" quotePrefix="0" xfId="0"/>
    <xf numFmtId="164" fontId="4" fillId="4" borderId="0" applyAlignment="1" pivotButton="0" quotePrefix="0" xfId="0">
      <alignment wrapText="1"/>
    </xf>
    <xf numFmtId="9" fontId="4" fillId="4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64" fontId="1" fillId="2" borderId="0" applyAlignment="1" pivotButton="0" quotePrefix="0" xfId="0">
      <alignment wrapText="1"/>
    </xf>
    <xf numFmtId="9" fontId="1" fillId="2" borderId="0" applyAlignment="1" pivotButton="0" quotePrefix="0" xfId="0">
      <alignment wrapText="1"/>
    </xf>
    <xf numFmtId="164" fontId="4" fillId="4" borderId="1" applyAlignment="1" pivotButton="0" quotePrefix="0" xfId="0">
      <alignment wrapText="1"/>
    </xf>
    <xf numFmtId="9" fontId="4" fillId="4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9" fontId="1" fillId="2" borderId="1" applyAlignment="1" pivotButton="0" quotePrefix="0" xfId="0">
      <alignment wrapText="1"/>
    </xf>
    <xf numFmtId="0" fontId="7" fillId="4" borderId="0" pivotButton="0" quotePrefix="0" xfId="0"/>
    <xf numFmtId="164" fontId="7" fillId="4" borderId="0" pivotButton="0" quotePrefix="0" xfId="0"/>
    <xf numFmtId="164" fontId="7" fillId="4" borderId="0" applyAlignment="1" pivotButton="0" quotePrefix="0" xfId="0">
      <alignment horizontal="center"/>
    </xf>
    <xf numFmtId="164" fontId="7" fillId="4" borderId="0" applyAlignment="1" pivotButton="0" quotePrefix="0" xfId="0">
      <alignment horizontal="center" vertical="center"/>
    </xf>
    <xf numFmtId="0" fontId="7" fillId="4" borderId="1" pivotButton="0" quotePrefix="0" xfId="0"/>
    <xf numFmtId="164" fontId="7" fillId="4" borderId="1" pivotButton="0" quotePrefix="0" xfId="0"/>
    <xf numFmtId="164" fontId="7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 vertical="center"/>
    </xf>
    <xf numFmtId="9" fontId="7" fillId="4" borderId="0" pivotButton="0" quotePrefix="0" xfId="0"/>
    <xf numFmtId="9" fontId="7" fillId="4" borderId="0" applyAlignment="1" pivotButton="0" quotePrefix="0" xfId="0">
      <alignment horizontal="center"/>
    </xf>
    <xf numFmtId="9" fontId="7" fillId="4" borderId="0" applyAlignment="1" pivotButton="0" quotePrefix="0" xfId="0">
      <alignment horizontal="center" vertical="center"/>
    </xf>
    <xf numFmtId="9" fontId="7" fillId="4" borderId="1" pivotButton="0" quotePrefix="0" xfId="0"/>
    <xf numFmtId="9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0" fillId="7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horizontal="center"/>
    </xf>
    <xf numFmtId="0" fontId="9" fillId="4" borderId="0" pivotButton="0" quotePrefix="0" xfId="0"/>
    <xf numFmtId="0" fontId="9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9" fillId="4" borderId="1" pivotButton="0" quotePrefix="0" xfId="0"/>
    <xf numFmtId="0" fontId="9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center" vertical="center"/>
    </xf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wrapText="1"/>
    </xf>
    <xf numFmtId="0" fontId="9" fillId="8" borderId="0" applyAlignment="1" pivotButton="0" quotePrefix="0" xfId="0">
      <alignment horizontal="center" wrapText="1"/>
    </xf>
    <xf numFmtId="0" fontId="9" fillId="8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9" fillId="8" borderId="1" pivotButton="0" quotePrefix="0" xfId="0"/>
    <xf numFmtId="0" fontId="9" fillId="8" borderId="1" applyAlignment="1" pivotButton="0" quotePrefix="0" xfId="0">
      <alignment wrapText="1"/>
    </xf>
    <xf numFmtId="0" fontId="9" fillId="8" borderId="1" applyAlignment="1" pivotButton="0" quotePrefix="0" xfId="0">
      <alignment horizontal="center" wrapText="1"/>
    </xf>
    <xf numFmtId="0" fontId="9" fillId="8" borderId="1" applyAlignment="1" pivotButton="0" quotePrefix="0" xfId="0">
      <alignment horizontal="center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center" wrapText="1"/>
    </xf>
    <xf numFmtId="0" fontId="10" fillId="5" borderId="0" applyAlignment="1" pivotButton="0" quotePrefix="0" xfId="0">
      <alignment horizontal="center" vertical="center" wrapText="1"/>
    </xf>
    <xf numFmtId="0" fontId="10" fillId="5" borderId="1" pivotButton="0" quotePrefix="0" xfId="0"/>
    <xf numFmtId="0" fontId="10" fillId="5" borderId="1" applyAlignment="1" pivotButton="0" quotePrefix="0" xfId="0">
      <alignment wrapText="1"/>
    </xf>
    <xf numFmtId="0" fontId="10" fillId="5" borderId="1" applyAlignment="1" pivotButton="0" quotePrefix="0" xfId="0">
      <alignment horizontal="center" wrapText="1"/>
    </xf>
    <xf numFmtId="0" fontId="10" fillId="5" borderId="1" applyAlignment="1" pivotButton="0" quotePrefix="0" xfId="0">
      <alignment horizontal="center" vertical="center" wrapText="1"/>
    </xf>
    <xf numFmtId="164" fontId="9" fillId="4" borderId="0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1" fillId="4" borderId="0" pivotButton="0" quotePrefix="0" xfId="0"/>
    <xf numFmtId="0" fontId="11" fillId="4" borderId="0" applyAlignment="1" pivotButton="0" quotePrefix="0" xfId="0">
      <alignment wrapText="1"/>
    </xf>
    <xf numFmtId="0" fontId="11" fillId="4" borderId="0" applyAlignment="1" pivotButton="0" quotePrefix="0" xfId="0">
      <alignment horizontal="center" wrapText="1"/>
    </xf>
    <xf numFmtId="0" fontId="11" fillId="4" borderId="0" applyAlignment="1" pivotButton="0" quotePrefix="0" xfId="0">
      <alignment horizontal="center" vertical="center" wrapText="1"/>
    </xf>
    <xf numFmtId="0" fontId="11" fillId="4" borderId="1" pivotButton="0" quotePrefix="0" xfId="0"/>
    <xf numFmtId="0" fontId="11" fillId="4" borderId="1" applyAlignment="1" pivotButton="0" quotePrefix="0" xfId="0">
      <alignment wrapText="1"/>
    </xf>
    <xf numFmtId="0" fontId="11" fillId="4" borderId="1" applyAlignment="1" pivotButton="0" quotePrefix="0" xfId="0">
      <alignment horizontal="center" wrapText="1"/>
    </xf>
    <xf numFmtId="0" fontId="11" fillId="4" borderId="1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164" fontId="15" fillId="10" borderId="2" applyAlignment="1" pivotButton="0" quotePrefix="0" xfId="0">
      <alignment horizontal="center" vertical="center" wrapText="1"/>
    </xf>
    <xf numFmtId="9" fontId="15" fillId="10" borderId="2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9" fontId="17" fillId="4" borderId="3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7" fillId="10" borderId="3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164" fontId="16" fillId="7" borderId="2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left" vertical="center" wrapText="1"/>
    </xf>
    <xf numFmtId="164" fontId="16" fillId="11" borderId="2" applyAlignment="1" pivotButton="0" quotePrefix="0" xfId="0">
      <alignment horizontal="left" vertical="center" wrapText="1"/>
    </xf>
    <xf numFmtId="9" fontId="16" fillId="11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left" vertical="center" wrapText="1"/>
    </xf>
    <xf numFmtId="0" fontId="17" fillId="10" borderId="3" applyAlignment="1" pivotButton="0" quotePrefix="0" xfId="0">
      <alignment horizontal="center" vertical="center" wrapText="1"/>
    </xf>
    <xf numFmtId="164" fontId="17" fillId="10" borderId="3" applyAlignment="1" pivotButton="0" quotePrefix="0" xfId="0">
      <alignment horizontal="center" vertical="center" wrapText="1"/>
    </xf>
    <xf numFmtId="9" fontId="17" fillId="10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left" vertical="center" wrapText="1"/>
    </xf>
    <xf numFmtId="164" fontId="17" fillId="4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64" fontId="1" fillId="2" borderId="0" applyAlignment="1" pivotButton="0" quotePrefix="0" xfId="0">
      <alignment wrapText="1"/>
    </xf>
    <xf numFmtId="9" fontId="1" fillId="2" borderId="0" applyAlignment="1" pivotButton="0" quotePrefix="0" xfId="0">
      <alignment wrapText="1"/>
    </xf>
    <xf numFmtId="0" fontId="17" fillId="10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center" vertical="center" wrapText="1"/>
    </xf>
  </cellXfs>
  <cellStyles count="1">
    <cellStyle name="Normal" xfId="0"/>
  </cellStyles>
  <dxfs count="7">
    <dxf>
      <font>
        <color rgb="00B91C1C"/>
      </font>
      <fill>
        <patternFill patternType="solid">
          <bgColor rgb="00FCE7E7"/>
        </patternFill>
      </fill>
    </dxf>
    <dxf>
      <font>
        <b val="1"/>
        <color rgb="00B91C1C"/>
      </font>
      <fill>
        <patternFill patternType="solid">
          <bgColor rgb="00FCE7E7"/>
        </patternFill>
      </fill>
    </dxf>
    <dxf>
      <font>
        <b val="1"/>
        <color rgb="002E7D32"/>
      </font>
      <fill>
        <patternFill patternType="solid">
          <bgColor rgb="00E7EFE2"/>
        </patternFill>
      </fill>
    </dxf>
    <dxf>
      <font>
        <b val="1"/>
        <color rgb="001F1A17"/>
      </font>
      <fill>
        <patternFill patternType="solid">
          <bgColor rgb="00F4E8C7"/>
        </patternFill>
      </fill>
    </dxf>
    <dxf>
      <font>
        <b val="1"/>
        <color rgb="002E7D32"/>
      </font>
      <fill>
        <patternFill patternType="solid">
          <bgColor rgb="00E7EFE2"/>
        </patternFill>
      </fill>
    </dxf>
    <dxf>
      <font>
        <b val="1"/>
        <color rgb="002E7D32"/>
      </font>
      <fill>
        <patternFill patternType="solid">
          <bgColor rgb="00E7EFE2"/>
        </patternFill>
      </fill>
    </dxf>
    <dxf>
      <font>
        <b val="1"/>
        <color rgb="00B91C1C"/>
      </font>
      <fill>
        <patternFill patternType="solid">
          <bgColor rgb="00FCE7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Taupymo progresas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Tracker'!H3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Tracker'!$B$4:$B$15</f>
            </numRef>
          </cat>
          <val>
            <numRef>
              <f>'Monthly Tracker'!$H$4:$H$15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Mėnuo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Progresas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Faktinės įmokos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'Monthly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Tracker'!$B$4:$B$15</f>
            </numRef>
          </cat>
          <val>
            <numRef>
              <f>'Monthly Tracker'!$D$4:$D$15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Mėnuo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16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vingsMonthlyTracker" displayName="SavingsMonthlyTracker" ref="A3:J15" headerRowCount="1">
  <tableColumns count="10">
    <tableColumn id="1" name="Month #"/>
    <tableColumn id="2" name="Month"/>
    <tableColumn id="3" name="Planned Deposit"/>
    <tableColumn id="4" name="Actual Deposit"/>
    <tableColumn id="5" name="Difference"/>
    <tableColumn id="6" name="Cumulative Planned"/>
    <tableColumn id="7" name="Cumulative Saved"/>
    <tableColumn id="8" name="Progress %"/>
    <tableColumn id="9" name="Status"/>
    <tableColumn id="10" name="Notes"/>
  </tableColumns>
  <tableStyleInfo name="TableStyleMedium2" showRowStripes="1"/>
</table>
</file>

<file path=xl/tables/table2.xml><?xml version="1.0" encoding="utf-8"?>
<table xmlns="http://schemas.openxmlformats.org/spreadsheetml/2006/main" id="2" name="SavingsMilestones" displayName="SavingsMilestones" ref="A3:F7" headerRowCount="1">
  <tableColumns count="6">
    <tableColumn id="1" name="Milestone"/>
    <tableColumn id="2" name="Target %"/>
    <tableColumn id="3" name="Target Amount"/>
    <tableColumn id="4" name="Estimated Month"/>
    <tableColumn id="5" name="Status"/>
    <tableColumn id="6" name="Notes"/>
  </tableColumns>
  <tableStyleInfo name="TableStyleMedium2" showRowStripes="1"/>
</table>
</file>

<file path=xl/tables/table3.xml><?xml version="1.0" encoding="utf-8"?>
<table xmlns="http://schemas.openxmlformats.org/spreadsheetml/2006/main" id="3" name="SavingsScenarios" displayName="SavingsScenarios" ref="A3:F7" headerRowCount="1">
  <tableColumns count="6">
    <tableColumn id="1" name="Scenario"/>
    <tableColumn id="2" name="Monthly Deposit"/>
    <tableColumn id="3" name="Saved After 12 Months"/>
    <tableColumn id="4" name="Progress %"/>
    <tableColumn id="5" name="Gap to Target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C8A96A"/>
    <outlinePr summaryBelow="1" summaryRight="1"/>
    <pageSetUpPr/>
  </sheetPr>
  <dimension ref="A1:O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  <col width="3" customWidth="1" min="10" max="10"/>
    <col width="14" customWidth="1" min="11" max="11"/>
    <col width="12" customWidth="1" min="12" max="12"/>
    <col width="3" customWidth="1" min="13" max="13"/>
    <col width="18" customWidth="1" min="14" max="14"/>
    <col width="12" customWidth="1" min="15" max="15"/>
    <col width="2" customWidth="1" min="16" max="16"/>
    <col width="2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8" customHeight="1">
      <c r="A1" s="148" t="inlineStr">
        <is>
          <t>StillOak Studio • Savings Tracker V15</t>
        </is>
      </c>
      <c r="B1" s="1" t="n"/>
      <c r="C1" s="1" t="n"/>
      <c r="D1" s="1" t="n"/>
      <c r="E1" s="1" t="n"/>
      <c r="F1" s="1" t="n"/>
      <c r="G1" s="1" t="n"/>
      <c r="H1" s="1" t="n"/>
      <c r="I1" s="148" t="n"/>
      <c r="J1" s="148" t="n"/>
      <c r="K1" s="148" t="n"/>
      <c r="L1" s="148" t="n"/>
      <c r="M1" s="148" t="n"/>
      <c r="N1" s="148" t="n"/>
      <c r="O1" s="148" t="n"/>
    </row>
    <row r="2" ht="22" customHeight="1">
      <c r="A2" s="149" t="inlineStr">
        <is>
          <t>12 mėnesių taupymo dashboard su progresu, statusu ir rekomendacijomis.</t>
        </is>
      </c>
      <c r="B2" s="1" t="n"/>
      <c r="C2" s="1" t="n"/>
      <c r="D2" s="1" t="n"/>
      <c r="E2" s="1" t="n"/>
      <c r="F2" s="1" t="n"/>
      <c r="G2" s="1" t="n"/>
      <c r="H2" s="1" t="n"/>
      <c r="I2" s="149" t="n"/>
      <c r="J2" s="149" t="n"/>
      <c r="K2" s="149" t="n"/>
      <c r="L2" s="149" t="n"/>
      <c r="M2" s="149" t="n"/>
      <c r="N2" s="149" t="n"/>
      <c r="O2" s="149" t="n"/>
    </row>
    <row r="3" ht="22" customHeight="1">
      <c r="A3" s="150" t="inlineStr">
        <is>
          <t>Tikslas</t>
        </is>
      </c>
      <c r="B3" s="1" t="n"/>
      <c r="C3" s="150" t="inlineStr">
        <is>
          <t>Sukaupta</t>
        </is>
      </c>
      <c r="D3" s="1" t="n"/>
      <c r="E3" s="150" t="inlineStr">
        <is>
          <t>Liko</t>
        </is>
      </c>
      <c r="F3" s="1" t="n"/>
      <c r="G3" s="150" t="inlineStr">
        <is>
          <t>Progresas</t>
        </is>
      </c>
      <c r="H3" s="1" t="n"/>
      <c r="K3" s="151" t="inlineStr">
        <is>
          <t>Month</t>
        </is>
      </c>
      <c r="L3" s="151" t="inlineStr">
        <is>
          <t>Progress</t>
        </is>
      </c>
      <c r="N3" s="151" t="inlineStr">
        <is>
          <t>Scenario</t>
        </is>
      </c>
      <c r="O3" s="151" t="inlineStr">
        <is>
          <t>Progress</t>
        </is>
      </c>
    </row>
    <row r="4" ht="26" customHeight="1">
      <c r="A4" s="152">
        <f>'Goal Setup'!$B$4</f>
        <v/>
      </c>
      <c r="B4" s="1" t="n"/>
      <c r="C4" s="152">
        <f>'Goal Setup'!$B$10</f>
        <v/>
      </c>
      <c r="D4" s="1" t="n"/>
      <c r="E4" s="152">
        <f>'Goal Setup'!$B$11</f>
        <v/>
      </c>
      <c r="F4" s="1" t="n"/>
      <c r="G4" s="153">
        <f>'Goal Setup'!$B$12</f>
        <v/>
      </c>
      <c r="H4" s="1" t="n"/>
      <c r="K4" s="154">
        <f>'Monthly Tracker'!B4</f>
        <v/>
      </c>
      <c r="L4" s="155">
        <f>'Monthly Tracker'!H4</f>
        <v/>
      </c>
      <c r="N4" s="154">
        <f>'Scenario Planner'!A4</f>
        <v/>
      </c>
      <c r="O4" s="155">
        <f>'Scenario Planner'!D4</f>
        <v/>
      </c>
    </row>
    <row r="5" ht="26" customHeight="1">
      <c r="A5" s="1" t="n"/>
      <c r="B5" s="1" t="n"/>
      <c r="C5" s="1" t="n"/>
      <c r="D5" s="1" t="n"/>
      <c r="E5" s="1" t="n"/>
      <c r="F5" s="1" t="n"/>
      <c r="G5" s="1" t="n"/>
      <c r="H5" s="1" t="n"/>
      <c r="K5" s="154">
        <f>'Monthly Tracker'!B5</f>
        <v/>
      </c>
      <c r="L5" s="155">
        <f>'Monthly Tracker'!H5</f>
        <v/>
      </c>
      <c r="N5" s="154">
        <f>'Scenario Planner'!A5</f>
        <v/>
      </c>
      <c r="O5" s="155">
        <f>'Scenario Planner'!D5</f>
        <v/>
      </c>
    </row>
    <row r="6" ht="26" customHeight="1">
      <c r="A6" s="1" t="n"/>
      <c r="B6" s="1" t="n"/>
      <c r="C6" s="1" t="n"/>
      <c r="D6" s="1" t="n"/>
      <c r="E6" s="1" t="n"/>
      <c r="F6" s="1" t="n"/>
      <c r="G6" s="1" t="n"/>
      <c r="H6" s="1" t="n"/>
      <c r="K6" s="154">
        <f>'Monthly Tracker'!B6</f>
        <v/>
      </c>
      <c r="L6" s="155">
        <f>'Monthly Tracker'!H6</f>
        <v/>
      </c>
      <c r="N6" s="154">
        <f>'Scenario Planner'!A6</f>
        <v/>
      </c>
      <c r="O6" s="155">
        <f>'Scenario Planner'!D6</f>
        <v/>
      </c>
    </row>
    <row r="7" ht="26" customHeight="1">
      <c r="A7" s="1" t="n"/>
      <c r="B7" s="1" t="n"/>
      <c r="C7" s="1" t="n"/>
      <c r="D7" s="1" t="n"/>
      <c r="E7" s="1" t="n"/>
      <c r="F7" s="1" t="n"/>
      <c r="G7" s="1" t="n"/>
      <c r="H7" s="1" t="n"/>
      <c r="K7" s="154">
        <f>'Monthly Tracker'!B7</f>
        <v/>
      </c>
      <c r="L7" s="155">
        <f>'Monthly Tracker'!H7</f>
        <v/>
      </c>
      <c r="N7" s="154">
        <f>'Scenario Planner'!A7</f>
        <v/>
      </c>
      <c r="O7" s="155">
        <f>'Scenario Planner'!D7</f>
        <v/>
      </c>
    </row>
    <row r="8">
      <c r="K8" s="154">
        <f>'Monthly Tracker'!B8</f>
        <v/>
      </c>
      <c r="L8" s="155">
        <f>'Monthly Tracker'!H8</f>
        <v/>
      </c>
    </row>
    <row r="9" ht="22" customHeight="1">
      <c r="A9" s="150" t="inlineStr">
        <is>
          <t>Mėnesio planas</t>
        </is>
      </c>
      <c r="B9" s="1" t="n"/>
      <c r="C9" s="150" t="inlineStr">
        <is>
          <t>Vidutinė faktinė įmoka</t>
        </is>
      </c>
      <c r="D9" s="1" t="n"/>
      <c r="E9" s="150" t="inlineStr">
        <is>
          <t>Statusas</t>
        </is>
      </c>
      <c r="F9" s="1" t="n"/>
      <c r="G9" s="150" t="inlineStr">
        <is>
          <t>Rekomendacija</t>
        </is>
      </c>
      <c r="H9" s="1" t="n"/>
      <c r="K9" s="154">
        <f>'Monthly Tracker'!B9</f>
        <v/>
      </c>
      <c r="L9" s="155">
        <f>'Monthly Tracker'!H9</f>
        <v/>
      </c>
    </row>
    <row r="10" ht="28" customHeight="1">
      <c r="A10" s="152">
        <f>'Goal Setup'!$B$9</f>
        <v/>
      </c>
      <c r="B10" s="1" t="n"/>
      <c r="C10" s="152">
        <f>AVERAGE('Monthly Tracker'!D4:D15)</f>
        <v/>
      </c>
      <c r="D10" s="1" t="n"/>
      <c r="E10" s="156">
        <f>'Goal Setup'!$B$13</f>
        <v/>
      </c>
      <c r="F10" s="1" t="n"/>
      <c r="G10" s="157">
        <f>IF('Goal Setup'!$B$12&gt;=1,Settings!$B$6,IF('Goal Setup'!$B$12&gt;=0.75,Settings!$B$7,IF('Goal Setup'!$B$12&gt;=0.45,Settings!$B$8,Settings!$B$9)))</f>
        <v/>
      </c>
      <c r="H10" s="1" t="n"/>
      <c r="K10" s="154">
        <f>'Monthly Tracker'!B10</f>
        <v/>
      </c>
      <c r="L10" s="155">
        <f>'Monthly Tracker'!H10</f>
        <v/>
      </c>
    </row>
    <row r="11" ht="2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K11" s="154">
        <f>'Monthly Tracker'!B11</f>
        <v/>
      </c>
      <c r="L11" s="155">
        <f>'Monthly Tracker'!H11</f>
        <v/>
      </c>
    </row>
    <row r="12" ht="2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K12" s="154">
        <f>'Monthly Tracker'!B12</f>
        <v/>
      </c>
      <c r="L12" s="155">
        <f>'Monthly Tracker'!H12</f>
        <v/>
      </c>
    </row>
    <row r="13">
      <c r="K13" s="154">
        <f>'Monthly Tracker'!B13</f>
        <v/>
      </c>
      <c r="L13" s="155">
        <f>'Monthly Tracker'!H13</f>
        <v/>
      </c>
    </row>
    <row r="14" ht="24" customHeight="1">
      <c r="A14" s="4" t="inlineStr">
        <is>
          <t>Taupymo progreso analizė</t>
        </is>
      </c>
      <c r="B14" s="4" t="str"/>
      <c r="C14" s="4" t="str"/>
      <c r="D14" s="4" t="str"/>
      <c r="E14" s="4" t="str"/>
      <c r="F14" s="4" t="str"/>
      <c r="G14" s="4" t="str"/>
      <c r="H14" s="4" t="str"/>
      <c r="K14" s="154">
        <f>'Monthly Tracker'!B14</f>
        <v/>
      </c>
      <c r="L14" s="155">
        <f>'Monthly Tracker'!H14</f>
        <v/>
      </c>
    </row>
    <row r="15" ht="40" customHeight="1">
      <c r="A15" s="158">
        <f>"Iki tikslo liko "&amp;TEXT('Goal Setup'!$B$11,"€#,##0")&amp;". Dabartinis progresas: "&amp;TEXT('Goal Setup'!$B$12,"0%")&amp;"."</f>
        <v/>
      </c>
      <c r="B15" s="1" t="n"/>
      <c r="C15" s="1" t="n"/>
      <c r="D15" s="1" t="n"/>
      <c r="E15" s="1" t="n"/>
      <c r="F15" s="1" t="n"/>
      <c r="G15" s="1" t="n"/>
      <c r="H15" s="1" t="n"/>
      <c r="K15" s="154">
        <f>'Monthly Tracker'!B15</f>
        <v/>
      </c>
      <c r="L15" s="155">
        <f>'Monthly Tracker'!H15</f>
        <v/>
      </c>
    </row>
    <row r="16" ht="24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</sheetData>
  <mergeCells count="19">
    <mergeCell ref="A10:B12"/>
    <mergeCell ref="A1:H1"/>
    <mergeCell ref="C4:D7"/>
    <mergeCell ref="G4:H7"/>
    <mergeCell ref="C10:D12"/>
    <mergeCell ref="G10:H12"/>
    <mergeCell ref="C9:D9"/>
    <mergeCell ref="E9:F9"/>
    <mergeCell ref="A4:B7"/>
    <mergeCell ref="G3:H3"/>
    <mergeCell ref="A3:B3"/>
    <mergeCell ref="E10:F12"/>
    <mergeCell ref="A15:H16"/>
    <mergeCell ref="A2:H2"/>
    <mergeCell ref="A9:B9"/>
    <mergeCell ref="G9:H9"/>
    <mergeCell ref="C3:D3"/>
    <mergeCell ref="E4:F7"/>
    <mergeCell ref="E3:F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1A17"/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8" t="inlineStr">
        <is>
          <t>StillOak Studio • Savings Tracker V15</t>
        </is>
      </c>
      <c r="B1" s="1" t="n"/>
      <c r="C1" s="1" t="n"/>
      <c r="D1" s="1" t="n"/>
      <c r="E1" s="1" t="n"/>
      <c r="F1" s="1" t="n"/>
      <c r="G1" s="1" t="n"/>
      <c r="H1" s="1" t="n"/>
    </row>
    <row r="2" ht="25" customHeight="1">
      <c r="A2" s="149" t="inlineStr">
        <is>
          <t>Premium 12 mėnesių taupymo tikslų sistema su automatiniu dashboard ir rekomendacijomis.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59" t="n"/>
      <c r="B3" s="159" t="n"/>
      <c r="C3" s="159" t="n"/>
      <c r="D3" s="159" t="n"/>
      <c r="E3" s="159" t="n"/>
      <c r="F3" s="159" t="n"/>
      <c r="G3" s="159" t="n"/>
      <c r="H3" s="159" t="n"/>
    </row>
    <row r="4">
      <c r="A4" s="159" t="inlineStr">
        <is>
          <t>Žingsnis</t>
        </is>
      </c>
      <c r="B4" s="159" t="inlineStr">
        <is>
          <t>Veiksmas</t>
        </is>
      </c>
      <c r="C4" s="159" t="inlineStr">
        <is>
          <t>Paaiškinimas</t>
        </is>
      </c>
      <c r="D4" s="159" t="n"/>
      <c r="E4" s="159" t="n"/>
      <c r="F4" s="159" t="n"/>
      <c r="G4" s="159" t="n"/>
      <c r="H4" s="159" t="n"/>
    </row>
    <row r="5" ht="48" customHeight="1">
      <c r="A5" s="159" t="inlineStr">
        <is>
          <t>01</t>
        </is>
      </c>
      <c r="B5" s="159" t="inlineStr">
        <is>
          <t>Įveskite tikslą</t>
        </is>
      </c>
      <c r="C5" s="159" t="inlineStr">
        <is>
          <t>Goal Setup lape įrašykite tikslinę sumą, pradinį likutį, mėnesį ir norimą pabaigos datą.</t>
        </is>
      </c>
      <c r="D5" s="159" t="n"/>
      <c r="E5" s="159" t="n"/>
      <c r="F5" s="159" t="n"/>
      <c r="G5" s="159" t="n"/>
      <c r="H5" s="159" t="n"/>
    </row>
    <row r="6" ht="48" customHeight="1">
      <c r="A6" s="159" t="inlineStr">
        <is>
          <t>02</t>
        </is>
      </c>
      <c r="B6" s="159" t="inlineStr">
        <is>
          <t>Pildykite mėnesius</t>
        </is>
      </c>
      <c r="C6" s="159" t="inlineStr">
        <is>
          <t>Monthly Tracker lape įrašykite realias mėnesio įmokas. Visi rezultatai skaičiuojami automatiškai.</t>
        </is>
      </c>
      <c r="D6" s="159" t="n"/>
      <c r="E6" s="159" t="n"/>
      <c r="F6" s="159" t="n"/>
      <c r="G6" s="159" t="n"/>
      <c r="H6" s="159" t="n"/>
    </row>
    <row r="7" ht="48" customHeight="1">
      <c r="A7" s="159" t="inlineStr">
        <is>
          <t>03</t>
        </is>
      </c>
      <c r="B7" s="159" t="inlineStr">
        <is>
          <t>Stebėkite Dashboard</t>
        </is>
      </c>
      <c r="C7" s="159" t="inlineStr">
        <is>
          <t>Dashboard lape matysite progresą, likusią sumą, taupymo ritmą, statusą ir rekomendaciją.</t>
        </is>
      </c>
      <c r="D7" s="159" t="n"/>
      <c r="E7" s="159" t="n"/>
      <c r="F7" s="159" t="n"/>
      <c r="G7" s="159" t="n"/>
      <c r="H7" s="159" t="n"/>
    </row>
    <row r="8" ht="48" customHeight="1">
      <c r="A8" s="159" t="inlineStr">
        <is>
          <t>04</t>
        </is>
      </c>
      <c r="B8" s="159" t="inlineStr">
        <is>
          <t>Naudokite scenarijus</t>
        </is>
      </c>
      <c r="C8" s="159" t="inlineStr">
        <is>
          <t>Scenario Planner padeda palyginti konservatyvų, standartinį ir agresyvų taupymo planus.</t>
        </is>
      </c>
      <c r="D8" s="159" t="n"/>
      <c r="E8" s="159" t="n"/>
      <c r="F8" s="159" t="n"/>
      <c r="G8" s="159" t="n"/>
      <c r="H8" s="159" t="n"/>
    </row>
    <row r="9" ht="48" customHeight="1">
      <c r="A9" s="159" t="inlineStr">
        <is>
          <t>05</t>
        </is>
      </c>
      <c r="B9" s="159" t="inlineStr">
        <is>
          <t>Peržiūrėkite kas mėnesį</t>
        </is>
      </c>
      <c r="C9" s="159" t="inlineStr">
        <is>
          <t>Review &amp; Notes lape užrašykite, kas pavyko, kas trukdė ir ką koreguosite kitą mėnesį.</t>
        </is>
      </c>
      <c r="D9" s="159" t="n"/>
      <c r="E9" s="159" t="n"/>
      <c r="F9" s="159" t="n"/>
      <c r="G9" s="159" t="n"/>
      <c r="H9" s="159" t="n"/>
    </row>
    <row r="10">
      <c r="A10" s="159" t="n"/>
      <c r="B10" s="159" t="n"/>
      <c r="C10" s="159" t="n"/>
      <c r="D10" s="159" t="n"/>
      <c r="E10" s="159" t="n"/>
      <c r="F10" s="159" t="n"/>
      <c r="G10" s="159" t="n"/>
      <c r="H10" s="159" t="n"/>
    </row>
    <row r="11" ht="45" customHeight="1">
      <c r="A11" s="160" t="inlineStr">
        <is>
          <t>Svarbu: mėlynai pažymėti laukeliai yra įvestims, o tamsūs / auksiniai rezultatai skaičiuojami formulėmis. Failas nenaudoja makrokomandų ir išorinių duomenų šaltinių.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157" t="n"/>
      <c r="B12" s="157" t="n"/>
      <c r="C12" s="157" t="n"/>
      <c r="D12" s="157" t="n"/>
      <c r="E12" s="157" t="n"/>
      <c r="F12" s="157" t="n"/>
      <c r="G12" s="157" t="n"/>
      <c r="H12" s="157" t="n"/>
    </row>
  </sheetData>
  <mergeCells count="3">
    <mergeCell ref="A2:H2"/>
    <mergeCell ref="A11:H11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7E8F75"/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48" t="inlineStr">
        <is>
          <t>Savings Tracker V15 • Goal Setup</t>
        </is>
      </c>
      <c r="B1" s="1" t="n"/>
      <c r="C1" s="1" t="n"/>
      <c r="D1" s="1" t="n"/>
      <c r="E1" s="1" t="n"/>
      <c r="F1" s="1" t="n"/>
    </row>
    <row r="3" ht="24" customHeight="1">
      <c r="A3" s="161" t="inlineStr">
        <is>
          <t>Goal Name</t>
        </is>
      </c>
      <c r="B3" s="162" t="inlineStr">
        <is>
          <t>Emergency Fund</t>
        </is>
      </c>
    </row>
    <row r="4" ht="24" customHeight="1">
      <c r="A4" s="161" t="inlineStr">
        <is>
          <t>Target Amount</t>
        </is>
      </c>
      <c r="B4" s="163" t="n">
        <v>5000</v>
      </c>
    </row>
    <row r="5" ht="24" customHeight="1">
      <c r="A5" s="161" t="inlineStr">
        <is>
          <t>Starting Balance</t>
        </is>
      </c>
      <c r="B5" s="163" t="n">
        <v>500</v>
      </c>
    </row>
    <row r="6" ht="24" customHeight="1">
      <c r="A6" s="161" t="inlineStr">
        <is>
          <t>Start Month</t>
        </is>
      </c>
      <c r="B6" s="162" t="inlineStr">
        <is>
          <t>January</t>
        </is>
      </c>
    </row>
    <row r="7" ht="24" customHeight="1">
      <c r="A7" s="161" t="inlineStr">
        <is>
          <t>Target Months</t>
        </is>
      </c>
      <c r="B7" s="162" t="n">
        <v>12</v>
      </c>
    </row>
    <row r="8" ht="24" customHeight="1">
      <c r="A8" s="161" t="inlineStr">
        <is>
          <t>Currency</t>
        </is>
      </c>
      <c r="B8" s="162" t="inlineStr">
        <is>
          <t>€</t>
        </is>
      </c>
    </row>
    <row r="9" ht="24" customHeight="1">
      <c r="A9" s="164" t="inlineStr">
        <is>
          <t>Suggested Monthly Deposit</t>
        </is>
      </c>
      <c r="B9" s="165">
        <f>ROUNDUP((B4-B5)/B7,0)</f>
        <v/>
      </c>
    </row>
    <row r="10" ht="24" customHeight="1">
      <c r="A10" s="164" t="inlineStr">
        <is>
          <t>Actual Saved</t>
        </is>
      </c>
      <c r="B10" s="165">
        <f>'Monthly Tracker'!G13</f>
        <v/>
      </c>
    </row>
    <row r="11" ht="24" customHeight="1">
      <c r="A11" s="164" t="inlineStr">
        <is>
          <t>Remaining Amount</t>
        </is>
      </c>
      <c r="B11" s="165">
        <f>MAX(0,B4-B10)</f>
        <v/>
      </c>
    </row>
    <row r="12" ht="24" customHeight="1">
      <c r="A12" s="164" t="inlineStr">
        <is>
          <t>Progress %</t>
        </is>
      </c>
      <c r="B12" s="166">
        <f>IFERROR(B10/B4,0)</f>
        <v/>
      </c>
    </row>
    <row r="13" ht="24" customHeight="1">
      <c r="A13" s="164" t="inlineStr">
        <is>
          <t>Status</t>
        </is>
      </c>
      <c r="B13" s="167">
        <f>IF(B10&gt;=B4,"Tikslas pasiektas",IF(B10&gt;='Monthly Tracker'!F13,"Pagal planą","Atsiliekama"))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C8A96A"/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2" customWidth="1" min="5" max="5"/>
    <col width="18" customWidth="1" min="6" max="6"/>
    <col width="18" customWidth="1" min="7" max="7"/>
    <col width="12" customWidth="1" min="8" max="8"/>
    <col width="16" customWidth="1" min="9" max="9"/>
    <col width="20" customWidth="1" min="10" max="10"/>
  </cols>
  <sheetData>
    <row r="1" ht="32" customHeight="1">
      <c r="A1" s="148" t="inlineStr">
        <is>
          <t>Monthly Tracker • 12 mėnesių taupymo eiga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24" customHeight="1">
      <c r="A3" s="150" t="inlineStr">
        <is>
          <t>Month #</t>
        </is>
      </c>
      <c r="B3" s="150" t="inlineStr">
        <is>
          <t>Month</t>
        </is>
      </c>
      <c r="C3" s="150" t="inlineStr">
        <is>
          <t>Planned Deposit</t>
        </is>
      </c>
      <c r="D3" s="150" t="inlineStr">
        <is>
          <t>Actual Deposit</t>
        </is>
      </c>
      <c r="E3" s="150" t="inlineStr">
        <is>
          <t>Difference</t>
        </is>
      </c>
      <c r="F3" s="150" t="inlineStr">
        <is>
          <t>Cumulative Planned</t>
        </is>
      </c>
      <c r="G3" s="150" t="inlineStr">
        <is>
          <t>Cumulative Saved</t>
        </is>
      </c>
      <c r="H3" s="150" t="inlineStr">
        <is>
          <t>Progress %</t>
        </is>
      </c>
      <c r="I3" s="150" t="inlineStr">
        <is>
          <t>Status</t>
        </is>
      </c>
      <c r="J3" s="150" t="inlineStr">
        <is>
          <t>Notes</t>
        </is>
      </c>
    </row>
    <row r="4" ht="24" customHeight="1">
      <c r="A4" s="168" t="n">
        <v>1</v>
      </c>
      <c r="B4" s="159" t="inlineStr">
        <is>
          <t>January</t>
        </is>
      </c>
      <c r="C4" s="169">
        <f>'Goal Setup'!$B$9</f>
        <v/>
      </c>
      <c r="D4" s="169" t="n">
        <v>400</v>
      </c>
      <c r="E4" s="169">
        <f>D4-C4</f>
        <v/>
      </c>
      <c r="F4" s="169">
        <f>'Goal Setup'!$B$5+SUM($C$4:C4)</f>
        <v/>
      </c>
      <c r="G4" s="169">
        <f>'Goal Setup'!$B$5+SUM($D$4:D4)</f>
        <v/>
      </c>
      <c r="H4" s="170">
        <f>IFERROR(G4/'Goal Setup'!$B$4,0)</f>
        <v/>
      </c>
      <c r="I4" s="168">
        <f>IF(G4&gt;='Goal Setup'!$B$4,"Tikslas pasiektas",IF(G4&gt;=F4,"Pagal planą","Atsiliekama"))</f>
        <v/>
      </c>
      <c r="J4" s="168" t="inlineStr">
        <is>
          <t>Startas geras</t>
        </is>
      </c>
    </row>
    <row r="5" ht="24" customHeight="1">
      <c r="A5" s="154" t="n">
        <v>2</v>
      </c>
      <c r="B5" s="171" t="inlineStr">
        <is>
          <t>February</t>
        </is>
      </c>
      <c r="C5" s="172">
        <f>'Goal Setup'!$B$9</f>
        <v/>
      </c>
      <c r="D5" s="172" t="n">
        <v>450</v>
      </c>
      <c r="E5" s="172">
        <f>D5-C5</f>
        <v/>
      </c>
      <c r="F5" s="172">
        <f>'Goal Setup'!$B$5+SUM($C$4:C5)</f>
        <v/>
      </c>
      <c r="G5" s="172">
        <f>'Goal Setup'!$B$5+SUM($D$4:D5)</f>
        <v/>
      </c>
      <c r="H5" s="155">
        <f>IFERROR(G5/'Goal Setup'!$B$4,0)</f>
        <v/>
      </c>
      <c r="I5" s="154">
        <f>IF(G5&gt;='Goal Setup'!$B$4,"Tikslas pasiektas",IF(G5&gt;=F5,"Pagal planą","Atsiliekama"))</f>
        <v/>
      </c>
      <c r="J5" s="154" t="inlineStr">
        <is>
          <t>Papildoma įmoka</t>
        </is>
      </c>
    </row>
    <row r="6" ht="24" customHeight="1">
      <c r="A6" s="168" t="n">
        <v>3</v>
      </c>
      <c r="B6" s="159" t="inlineStr">
        <is>
          <t>March</t>
        </is>
      </c>
      <c r="C6" s="169">
        <f>'Goal Setup'!$B$9</f>
        <v/>
      </c>
      <c r="D6" s="169" t="n">
        <v>375</v>
      </c>
      <c r="E6" s="169">
        <f>D6-C6</f>
        <v/>
      </c>
      <c r="F6" s="169">
        <f>'Goal Setup'!$B$5+SUM($C$4:C6)</f>
        <v/>
      </c>
      <c r="G6" s="169">
        <f>'Goal Setup'!$B$5+SUM($D$4:D6)</f>
        <v/>
      </c>
      <c r="H6" s="170">
        <f>IFERROR(G6/'Goal Setup'!$B$4,0)</f>
        <v/>
      </c>
      <c r="I6" s="168">
        <f>IF(G6&gt;='Goal Setup'!$B$4,"Tikslas pasiektas",IF(G6&gt;=F6,"Pagal planą","Atsiliekama"))</f>
        <v/>
      </c>
      <c r="J6" s="168" t="inlineStr">
        <is>
          <t>Mažesnė įmoka</t>
        </is>
      </c>
    </row>
    <row r="7" ht="24" customHeight="1">
      <c r="A7" s="154" t="n">
        <v>4</v>
      </c>
      <c r="B7" s="171" t="inlineStr">
        <is>
          <t>April</t>
        </is>
      </c>
      <c r="C7" s="172">
        <f>'Goal Setup'!$B$9</f>
        <v/>
      </c>
      <c r="D7" s="172" t="n">
        <v>500</v>
      </c>
      <c r="E7" s="172">
        <f>D7-C7</f>
        <v/>
      </c>
      <c r="F7" s="172">
        <f>'Goal Setup'!$B$5+SUM($C$4:C7)</f>
        <v/>
      </c>
      <c r="G7" s="172">
        <f>'Goal Setup'!$B$5+SUM($D$4:D7)</f>
        <v/>
      </c>
      <c r="H7" s="155">
        <f>IFERROR(G7/'Goal Setup'!$B$4,0)</f>
        <v/>
      </c>
      <c r="I7" s="154">
        <f>IF(G7&gt;='Goal Setup'!$B$4,"Tikslas pasiektas",IF(G7&gt;=F7,"Pagal planą","Atsiliekama"))</f>
        <v/>
      </c>
      <c r="J7" s="154" t="inlineStr">
        <is>
          <t>Stiprus mėnuo</t>
        </is>
      </c>
    </row>
    <row r="8" ht="24" customHeight="1">
      <c r="A8" s="168" t="n">
        <v>5</v>
      </c>
      <c r="B8" s="159" t="inlineStr">
        <is>
          <t>May</t>
        </is>
      </c>
      <c r="C8" s="169">
        <f>'Goal Setup'!$B$9</f>
        <v/>
      </c>
      <c r="D8" s="169" t="n">
        <v>420</v>
      </c>
      <c r="E8" s="169">
        <f>D8-C8</f>
        <v/>
      </c>
      <c r="F8" s="169">
        <f>'Goal Setup'!$B$5+SUM($C$4:C8)</f>
        <v/>
      </c>
      <c r="G8" s="169">
        <f>'Goal Setup'!$B$5+SUM($D$4:D8)</f>
        <v/>
      </c>
      <c r="H8" s="170">
        <f>IFERROR(G8/'Goal Setup'!$B$4,0)</f>
        <v/>
      </c>
      <c r="I8" s="168">
        <f>IF(G8&gt;='Goal Setup'!$B$4,"Tikslas pasiektas",IF(G8&gt;=F8,"Pagal planą","Atsiliekama"))</f>
        <v/>
      </c>
      <c r="J8" s="168" t="inlineStr">
        <is>
          <t>Stabilu</t>
        </is>
      </c>
    </row>
    <row r="9" ht="24" customHeight="1">
      <c r="A9" s="154" t="n">
        <v>6</v>
      </c>
      <c r="B9" s="171" t="inlineStr">
        <is>
          <t>June</t>
        </is>
      </c>
      <c r="C9" s="172">
        <f>'Goal Setup'!$B$9</f>
        <v/>
      </c>
      <c r="D9" s="172" t="n">
        <v>525</v>
      </c>
      <c r="E9" s="172">
        <f>D9-C9</f>
        <v/>
      </c>
      <c r="F9" s="172">
        <f>'Goal Setup'!$B$5+SUM($C$4:C9)</f>
        <v/>
      </c>
      <c r="G9" s="172">
        <f>'Goal Setup'!$B$5+SUM($D$4:D9)</f>
        <v/>
      </c>
      <c r="H9" s="155">
        <f>IFERROR(G9/'Goal Setup'!$B$4,0)</f>
        <v/>
      </c>
      <c r="I9" s="154">
        <f>IF(G9&gt;='Goal Setup'!$B$4,"Tikslas pasiektas",IF(G9&gt;=F9,"Pagal planą","Atsiliekama"))</f>
        <v/>
      </c>
      <c r="J9" s="154" t="inlineStr">
        <is>
          <t>Papildomas uždarbis</t>
        </is>
      </c>
    </row>
    <row r="10" ht="24" customHeight="1">
      <c r="A10" s="168" t="n">
        <v>7</v>
      </c>
      <c r="B10" s="159" t="inlineStr">
        <is>
          <t>July</t>
        </is>
      </c>
      <c r="C10" s="169">
        <f>'Goal Setup'!$B$9</f>
        <v/>
      </c>
      <c r="D10" s="169" t="n">
        <v>475</v>
      </c>
      <c r="E10" s="169">
        <f>D10-C10</f>
        <v/>
      </c>
      <c r="F10" s="169">
        <f>'Goal Setup'!$B$5+SUM($C$4:C10)</f>
        <v/>
      </c>
      <c r="G10" s="169">
        <f>'Goal Setup'!$B$5+SUM($D$4:D10)</f>
        <v/>
      </c>
      <c r="H10" s="170">
        <f>IFERROR(G10/'Goal Setup'!$B$4,0)</f>
        <v/>
      </c>
      <c r="I10" s="168">
        <f>IF(G10&gt;='Goal Setup'!$B$4,"Tikslas pasiektas",IF(G10&gt;=F10,"Pagal planą","Atsiliekama"))</f>
        <v/>
      </c>
      <c r="J10" s="168" t="inlineStr">
        <is>
          <t>Pagal planą</t>
        </is>
      </c>
    </row>
    <row r="11" ht="24" customHeight="1">
      <c r="A11" s="154" t="n">
        <v>8</v>
      </c>
      <c r="B11" s="171" t="inlineStr">
        <is>
          <t>August</t>
        </is>
      </c>
      <c r="C11" s="172">
        <f>'Goal Setup'!$B$9</f>
        <v/>
      </c>
      <c r="D11" s="172" t="n">
        <v>500</v>
      </c>
      <c r="E11" s="172">
        <f>D11-C11</f>
        <v/>
      </c>
      <c r="F11" s="172">
        <f>'Goal Setup'!$B$5+SUM($C$4:C11)</f>
        <v/>
      </c>
      <c r="G11" s="172">
        <f>'Goal Setup'!$B$5+SUM($D$4:D11)</f>
        <v/>
      </c>
      <c r="H11" s="155">
        <f>IFERROR(G11/'Goal Setup'!$B$4,0)</f>
        <v/>
      </c>
      <c r="I11" s="154">
        <f>IF(G11&gt;='Goal Setup'!$B$4,"Tikslas pasiektas",IF(G11&gt;=F11,"Pagal planą","Atsiliekama"))</f>
        <v/>
      </c>
      <c r="J11" s="154" t="inlineStr">
        <is>
          <t>Puikus ritmas</t>
        </is>
      </c>
    </row>
    <row r="12" ht="24" customHeight="1">
      <c r="A12" s="168" t="n">
        <v>9</v>
      </c>
      <c r="B12" s="159" t="inlineStr">
        <is>
          <t>September</t>
        </is>
      </c>
      <c r="C12" s="169">
        <f>'Goal Setup'!$B$9</f>
        <v/>
      </c>
      <c r="D12" s="169" t="n">
        <v>450</v>
      </c>
      <c r="E12" s="169">
        <f>D12-C12</f>
        <v/>
      </c>
      <c r="F12" s="169">
        <f>'Goal Setup'!$B$5+SUM($C$4:C12)</f>
        <v/>
      </c>
      <c r="G12" s="169">
        <f>'Goal Setup'!$B$5+SUM($D$4:D12)</f>
        <v/>
      </c>
      <c r="H12" s="170">
        <f>IFERROR(G12/'Goal Setup'!$B$4,0)</f>
        <v/>
      </c>
      <c r="I12" s="168">
        <f>IF(G12&gt;='Goal Setup'!$B$4,"Tikslas pasiektas",IF(G12&gt;=F12,"Pagal planą","Atsiliekama"))</f>
        <v/>
      </c>
      <c r="J12" s="168" t="inlineStr">
        <is>
          <t>Šiek tiek mažiau</t>
        </is>
      </c>
    </row>
    <row r="13" ht="24" customHeight="1">
      <c r="A13" s="154" t="n">
        <v>10</v>
      </c>
      <c r="B13" s="171" t="inlineStr">
        <is>
          <t>October</t>
        </is>
      </c>
      <c r="C13" s="172">
        <f>'Goal Setup'!$B$9</f>
        <v/>
      </c>
      <c r="D13" s="172" t="n">
        <v>520</v>
      </c>
      <c r="E13" s="172">
        <f>D13-C13</f>
        <v/>
      </c>
      <c r="F13" s="172">
        <f>'Goal Setup'!$B$5+SUM($C$4:C13)</f>
        <v/>
      </c>
      <c r="G13" s="172">
        <f>'Goal Setup'!$B$5+SUM($D$4:D13)</f>
        <v/>
      </c>
      <c r="H13" s="155">
        <f>IFERROR(G13/'Goal Setup'!$B$4,0)</f>
        <v/>
      </c>
      <c r="I13" s="154">
        <f>IF(G13&gt;='Goal Setup'!$B$4,"Tikslas pasiektas",IF(G13&gt;=F13,"Pagal planą","Atsiliekama"))</f>
        <v/>
      </c>
      <c r="J13" s="154" t="inlineStr">
        <is>
          <t>Atgautas tempas</t>
        </is>
      </c>
    </row>
    <row r="14" ht="24" customHeight="1">
      <c r="A14" s="168" t="n">
        <v>11</v>
      </c>
      <c r="B14" s="159" t="inlineStr">
        <is>
          <t>November</t>
        </is>
      </c>
      <c r="C14" s="169">
        <f>'Goal Setup'!$B$9</f>
        <v/>
      </c>
      <c r="D14" s="169" t="n">
        <v>550</v>
      </c>
      <c r="E14" s="169">
        <f>D14-C14</f>
        <v/>
      </c>
      <c r="F14" s="169">
        <f>'Goal Setup'!$B$5+SUM($C$4:C14)</f>
        <v/>
      </c>
      <c r="G14" s="169">
        <f>'Goal Setup'!$B$5+SUM($D$4:D14)</f>
        <v/>
      </c>
      <c r="H14" s="170">
        <f>IFERROR(G14/'Goal Setup'!$B$4,0)</f>
        <v/>
      </c>
      <c r="I14" s="168">
        <f>IF(G14&gt;='Goal Setup'!$B$4,"Tikslas pasiektas",IF(G14&gt;=F14,"Pagal planą","Atsiliekama"))</f>
        <v/>
      </c>
      <c r="J14" s="168" t="inlineStr">
        <is>
          <t>Virš planavimo</t>
        </is>
      </c>
    </row>
    <row r="15" ht="24" customHeight="1">
      <c r="A15" s="154" t="n">
        <v>12</v>
      </c>
      <c r="B15" s="171" t="inlineStr">
        <is>
          <t>December</t>
        </is>
      </c>
      <c r="C15" s="172">
        <f>'Goal Setup'!$B$9</f>
        <v/>
      </c>
      <c r="D15" s="172" t="n">
        <v>600</v>
      </c>
      <c r="E15" s="172">
        <f>D15-C15</f>
        <v/>
      </c>
      <c r="F15" s="172">
        <f>'Goal Setup'!$B$5+SUM($C$4:C15)</f>
        <v/>
      </c>
      <c r="G15" s="172">
        <f>'Goal Setup'!$B$5+SUM($D$4:D15)</f>
        <v/>
      </c>
      <c r="H15" s="155">
        <f>IFERROR(G15/'Goal Setup'!$B$4,0)</f>
        <v/>
      </c>
      <c r="I15" s="154">
        <f>IF(G15&gt;='Goal Setup'!$B$4,"Tikslas pasiektas",IF(G15&gt;=F15,"Pagal planą","Atsiliekama"))</f>
        <v/>
      </c>
      <c r="J15" s="154" t="inlineStr">
        <is>
          <t>Finalinis sprintas</t>
        </is>
      </c>
    </row>
    <row r="16" ht="24" customHeight="1">
      <c r="A16" s="9" t="n"/>
      <c r="B16" s="9" t="n"/>
      <c r="C16" s="173" t="n"/>
      <c r="D16" s="173" t="n"/>
      <c r="E16" s="173" t="n"/>
      <c r="F16" s="173" t="n"/>
      <c r="G16" s="173" t="n"/>
      <c r="H16" s="174" t="n"/>
      <c r="I16" s="9" t="n"/>
      <c r="J16" s="9" t="n"/>
    </row>
    <row r="17" ht="24" customHeight="1">
      <c r="A17" s="56" t="inlineStr">
        <is>
          <t>TOTAL</t>
        </is>
      </c>
      <c r="B17" s="56" t="str"/>
      <c r="C17" s="175">
        <f>SUM(C4:C15)</f>
        <v/>
      </c>
      <c r="D17" s="175">
        <f>SUM(D4:D15)</f>
        <v/>
      </c>
      <c r="E17" s="175">
        <f>D17-C17</f>
        <v/>
      </c>
      <c r="F17" s="175" t="str"/>
      <c r="G17" s="175">
        <f>G15</f>
        <v/>
      </c>
      <c r="H17" s="176">
        <f>IFERROR(G17/'Goal Setup'!$B$4,0)</f>
        <v/>
      </c>
      <c r="I17" s="56">
        <f>IF(G17&gt;='Goal Setup'!$B$4,"Tikslas pasiektas",IF(G17&gt;='Monthly Tracker'!F15,"Pagal planą","Atsiliekama"))</f>
        <v/>
      </c>
      <c r="J17" s="56" t="str"/>
    </row>
  </sheetData>
  <mergeCells count="1">
    <mergeCell ref="A1:J1"/>
  </mergeCells>
  <conditionalFormatting sqref="E4:E17">
    <cfRule type="cellIs" priority="1" operator="lessThan" dxfId="0">
      <formula>0</formula>
    </cfRule>
  </conditionalFormatting>
  <conditionalFormatting sqref="H4:H17">
    <cfRule type="dataBar" priority="2">
      <dataBar>
        <cfvo type="min"/>
        <cfvo type="max"/>
        <color rgb="007E8F75"/>
      </dataBar>
    </cfRule>
  </conditionalFormatting>
  <conditionalFormatting sqref="I4:I17">
    <cfRule type="expression" priority="3" dxfId="1">
      <formula>I4="Atsiliekama"</formula>
    </cfRule>
    <cfRule type="expression" priority="4" dxfId="2">
      <formula>I4="Pagal planą"</formula>
    </cfRule>
    <cfRule type="expression" priority="5" dxfId="3">
      <formula>I4="Tikslas pasiektas"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E8F75"/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4" customWidth="1" min="5" max="5"/>
    <col width="22" customWidth="1" min="6" max="6"/>
  </cols>
  <sheetData>
    <row r="1">
      <c r="A1" s="148" t="inlineStr">
        <is>
          <t>Milestones • Progreso etapai</t>
        </is>
      </c>
      <c r="B1" s="1" t="n"/>
      <c r="C1" s="1" t="n"/>
      <c r="D1" s="1" t="n"/>
      <c r="E1" s="1" t="n"/>
      <c r="F1" s="1" t="n"/>
    </row>
    <row r="3">
      <c r="A3" s="151" t="inlineStr">
        <is>
          <t>Milestone</t>
        </is>
      </c>
      <c r="B3" s="151" t="inlineStr">
        <is>
          <t>Target %</t>
        </is>
      </c>
      <c r="C3" s="151" t="inlineStr">
        <is>
          <t>Target Amount</t>
        </is>
      </c>
      <c r="D3" s="151" t="inlineStr">
        <is>
          <t>Estimated Month</t>
        </is>
      </c>
      <c r="E3" s="151" t="inlineStr">
        <is>
          <t>Status</t>
        </is>
      </c>
      <c r="F3" s="151" t="inlineStr">
        <is>
          <t>Notes</t>
        </is>
      </c>
    </row>
    <row r="4">
      <c r="A4" s="168" t="inlineStr">
        <is>
          <t>25% milestone</t>
        </is>
      </c>
      <c r="B4" s="170" t="n">
        <v>0.25</v>
      </c>
      <c r="C4" s="169">
        <f>'Goal Setup'!$B$4*B4</f>
        <v/>
      </c>
      <c r="D4" s="168">
        <f>IFERROR("Month "&amp;ROUNDUP((C4-'Goal Setup'!$B$5)/'Goal Setup'!$B$9,0),"Not available")</f>
        <v/>
      </c>
      <c r="E4" s="168">
        <f>IF('Goal Setup'!$B$10&gt;=C4,"Pasiekta","Laukiama")</f>
        <v/>
      </c>
      <c r="F4" s="168" t="inlineStr">
        <is>
          <t>Pirmas aiškus progresas</t>
        </is>
      </c>
    </row>
    <row r="5">
      <c r="A5" s="154" t="inlineStr">
        <is>
          <t>50% milestone</t>
        </is>
      </c>
      <c r="B5" s="155" t="n">
        <v>0.5</v>
      </c>
      <c r="C5" s="172">
        <f>'Goal Setup'!$B$4*B5</f>
        <v/>
      </c>
      <c r="D5" s="154">
        <f>IFERROR("Month "&amp;ROUNDUP((C5-'Goal Setup'!$B$5)/'Goal Setup'!$B$9,0),"Not available")</f>
        <v/>
      </c>
      <c r="E5" s="154">
        <f>IF('Goal Setup'!$B$10&gt;=C5,"Pasiekta","Laukiama")</f>
        <v/>
      </c>
      <c r="F5" s="154" t="inlineStr">
        <is>
          <t>Pusiaukelė</t>
        </is>
      </c>
    </row>
    <row r="6">
      <c r="A6" s="168" t="inlineStr">
        <is>
          <t>75% milestone</t>
        </is>
      </c>
      <c r="B6" s="170" t="n">
        <v>0.75</v>
      </c>
      <c r="C6" s="169">
        <f>'Goal Setup'!$B$4*B6</f>
        <v/>
      </c>
      <c r="D6" s="168">
        <f>IFERROR("Month "&amp;ROUNDUP((C6-'Goal Setup'!$B$5)/'Goal Setup'!$B$9,0),"Not available")</f>
        <v/>
      </c>
      <c r="E6" s="168">
        <f>IF('Goal Setup'!$B$10&gt;=C6,"Pasiekta","Laukiama")</f>
        <v/>
      </c>
      <c r="F6" s="168" t="inlineStr">
        <is>
          <t>Stiprus finišo etapas</t>
        </is>
      </c>
    </row>
    <row r="7">
      <c r="A7" s="154" t="inlineStr">
        <is>
          <t>100% goal</t>
        </is>
      </c>
      <c r="B7" s="155" t="n">
        <v>1</v>
      </c>
      <c r="C7" s="172">
        <f>'Goal Setup'!$B$4*B7</f>
        <v/>
      </c>
      <c r="D7" s="154">
        <f>IFERROR("Month "&amp;ROUNDUP((C7-'Goal Setup'!$B$5)/'Goal Setup'!$B$9,0),"Not available")</f>
        <v/>
      </c>
      <c r="E7" s="154">
        <f>IF('Goal Setup'!$B$10&gt;=C7,"Pasiekta","Laukiama")</f>
        <v/>
      </c>
      <c r="F7" s="154" t="inlineStr">
        <is>
          <t>Tikslas pasiektas</t>
        </is>
      </c>
    </row>
  </sheetData>
  <mergeCells count="1">
    <mergeCell ref="A1:F1"/>
  </mergeCells>
  <conditionalFormatting sqref="E4:E7">
    <cfRule type="expression" priority="1" dxfId="2">
      <formula>E4="Pasiekta"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8A96A"/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  <col width="16" customWidth="1" min="5" max="5"/>
    <col width="24" customWidth="1" min="6" max="6"/>
  </cols>
  <sheetData>
    <row r="1">
      <c r="A1" s="148" t="inlineStr">
        <is>
          <t>Scenario Planner • Taupymo plano palyginimas</t>
        </is>
      </c>
      <c r="B1" s="1" t="n"/>
      <c r="C1" s="1" t="n"/>
      <c r="D1" s="1" t="n"/>
      <c r="E1" s="1" t="n"/>
      <c r="F1" s="1" t="n"/>
    </row>
    <row r="3">
      <c r="A3" s="150" t="inlineStr">
        <is>
          <t>Scenario</t>
        </is>
      </c>
      <c r="B3" s="150" t="inlineStr">
        <is>
          <t>Monthly Deposit</t>
        </is>
      </c>
      <c r="C3" s="150" t="inlineStr">
        <is>
          <t>Saved After 12 Months</t>
        </is>
      </c>
      <c r="D3" s="150" t="inlineStr">
        <is>
          <t>Progress %</t>
        </is>
      </c>
      <c r="E3" s="150" t="inlineStr">
        <is>
          <t>Gap to Target</t>
        </is>
      </c>
      <c r="F3" s="150" t="inlineStr">
        <is>
          <t>Status</t>
        </is>
      </c>
    </row>
    <row r="4">
      <c r="A4" s="168" t="inlineStr">
        <is>
          <t>Conservative</t>
        </is>
      </c>
      <c r="B4" s="169" t="n">
        <v>250</v>
      </c>
      <c r="C4" s="169">
        <f>'Goal Setup'!$B$5+(B4*'Goal Setup'!$B$7)</f>
        <v/>
      </c>
      <c r="D4" s="170">
        <f>IFERROR(C4/'Goal Setup'!$B$4,0)</f>
        <v/>
      </c>
      <c r="E4" s="170">
        <f>MAX(0,'Goal Setup'!$B$4-C4)</f>
        <v/>
      </c>
      <c r="F4" s="168">
        <f>IF(C4&gt;='Goal Setup'!$B$4,"Pasieks tikslą","Nepakanka")</f>
        <v/>
      </c>
    </row>
    <row r="5">
      <c r="A5" s="154" t="inlineStr">
        <is>
          <t>Standard</t>
        </is>
      </c>
      <c r="B5" s="172">
        <f>'Goal Setup'!$B$9</f>
        <v/>
      </c>
      <c r="C5" s="172">
        <f>'Goal Setup'!$B$5+(B5*'Goal Setup'!$B$7)</f>
        <v/>
      </c>
      <c r="D5" s="155">
        <f>IFERROR(C5/'Goal Setup'!$B$4,0)</f>
        <v/>
      </c>
      <c r="E5" s="155">
        <f>MAX(0,'Goal Setup'!$B$4-C5)</f>
        <v/>
      </c>
      <c r="F5" s="154">
        <f>IF(C5&gt;='Goal Setup'!$B$4,"Pasieks tikslą","Nepakanka")</f>
        <v/>
      </c>
    </row>
    <row r="6">
      <c r="A6" s="168" t="inlineStr">
        <is>
          <t>Aggressive</t>
        </is>
      </c>
      <c r="B6" s="169" t="n">
        <v>500</v>
      </c>
      <c r="C6" s="169">
        <f>'Goal Setup'!$B$5+(B6*'Goal Setup'!$B$7)</f>
        <v/>
      </c>
      <c r="D6" s="170">
        <f>IFERROR(C6/'Goal Setup'!$B$4,0)</f>
        <v/>
      </c>
      <c r="E6" s="170">
        <f>MAX(0,'Goal Setup'!$B$4-C6)</f>
        <v/>
      </c>
      <c r="F6" s="168">
        <f>IF(C6&gt;='Goal Setup'!$B$4,"Pasieks tikslą","Nepakanka")</f>
        <v/>
      </c>
    </row>
    <row r="7">
      <c r="A7" s="154" t="inlineStr">
        <is>
          <t>Custom</t>
        </is>
      </c>
      <c r="B7" s="172" t="n">
        <v>650</v>
      </c>
      <c r="C7" s="172">
        <f>'Goal Setup'!$B$5+(B7*'Goal Setup'!$B$7)</f>
        <v/>
      </c>
      <c r="D7" s="155">
        <f>IFERROR(C7/'Goal Setup'!$B$4,0)</f>
        <v/>
      </c>
      <c r="E7" s="155">
        <f>MAX(0,'Goal Setup'!$B$4-C7)</f>
        <v/>
      </c>
      <c r="F7" s="154">
        <f>IF(C7&gt;='Goal Setup'!$B$4,"Pasieks tikslą","Nepakanka")</f>
        <v/>
      </c>
    </row>
  </sheetData>
  <mergeCells count="1">
    <mergeCell ref="A1:F1"/>
  </mergeCells>
  <conditionalFormatting sqref="F4:F7">
    <cfRule type="expression" priority="1" dxfId="2">
      <formula>F4="Pasieks tikslą"</formula>
    </cfRule>
    <cfRule type="expression" priority="2" dxfId="1">
      <formula>F4="Nepakanka"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1A17"/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8" t="inlineStr">
        <is>
          <t>Review &amp; Notes • Mėnesio refleksija</t>
        </is>
      </c>
      <c r="B1" s="1" t="n"/>
      <c r="C1" s="1" t="n"/>
      <c r="D1" s="1" t="n"/>
      <c r="E1" s="1" t="n"/>
      <c r="F1" s="1" t="n"/>
      <c r="G1" s="1" t="n"/>
      <c r="H1" s="1" t="n"/>
    </row>
    <row r="3" ht="28" customHeight="1">
      <c r="A3" s="161" t="inlineStr">
        <is>
          <t>Klausimas</t>
        </is>
      </c>
      <c r="B3" s="177" t="inlineStr">
        <is>
          <t>Atsakymas</t>
        </is>
      </c>
      <c r="C3" s="177" t="n"/>
      <c r="D3" s="177" t="n"/>
      <c r="E3" s="177" t="n"/>
      <c r="F3" s="177" t="n"/>
      <c r="G3" s="177" t="n"/>
      <c r="H3" s="177" t="n"/>
    </row>
    <row r="4" ht="28" customHeight="1">
      <c r="A4" s="164" t="inlineStr">
        <is>
          <t>Kas šį mėnesį pavyko geriausiai?</t>
        </is>
      </c>
      <c r="B4" s="177" t="str"/>
      <c r="C4" s="177" t="n"/>
      <c r="D4" s="177" t="n"/>
      <c r="E4" s="177" t="n"/>
      <c r="F4" s="177" t="n"/>
      <c r="G4" s="177" t="n"/>
      <c r="H4" s="177" t="n"/>
    </row>
    <row r="5" ht="28" customHeight="1">
      <c r="A5" s="161" t="inlineStr">
        <is>
          <t>Kas labiausiai trukdė taupyti?</t>
        </is>
      </c>
      <c r="B5" s="177" t="str"/>
      <c r="C5" s="177" t="n"/>
      <c r="D5" s="177" t="n"/>
      <c r="E5" s="177" t="n"/>
      <c r="F5" s="177" t="n"/>
      <c r="G5" s="177" t="n"/>
      <c r="H5" s="177" t="n"/>
    </row>
    <row r="6" ht="28" customHeight="1">
      <c r="A6" s="164" t="inlineStr">
        <is>
          <t>Kurią išlaidų kategoriją verta mažinti?</t>
        </is>
      </c>
      <c r="B6" s="177" t="str"/>
      <c r="C6" s="177" t="n"/>
      <c r="D6" s="177" t="n"/>
      <c r="E6" s="177" t="n"/>
      <c r="F6" s="177" t="n"/>
      <c r="G6" s="177" t="n"/>
      <c r="H6" s="177" t="n"/>
    </row>
    <row r="7" ht="28" customHeight="1">
      <c r="A7" s="161" t="inlineStr">
        <is>
          <t>Koks bus kito mėnesio minimalus įnašas?</t>
        </is>
      </c>
      <c r="B7" s="177" t="str"/>
      <c r="C7" s="177" t="n"/>
      <c r="D7" s="177" t="n"/>
      <c r="E7" s="177" t="n"/>
      <c r="F7" s="177" t="n"/>
      <c r="G7" s="177" t="n"/>
      <c r="H7" s="177" t="n"/>
    </row>
    <row r="8" ht="28" customHeight="1">
      <c r="A8" s="164" t="inlineStr">
        <is>
          <t>3 veiksmai kitam mėnesiui</t>
        </is>
      </c>
      <c r="B8" s="177" t="str"/>
      <c r="C8" s="177" t="n"/>
      <c r="D8" s="177" t="n"/>
      <c r="E8" s="177" t="n"/>
      <c r="F8" s="177" t="n"/>
      <c r="G8" s="177" t="n"/>
      <c r="H8" s="177" t="n"/>
    </row>
    <row r="9" ht="28" customHeight="1">
      <c r="A9" s="161" t="inlineStr">
        <is>
          <t>Papildomos pastabos</t>
        </is>
      </c>
      <c r="B9" s="177" t="str"/>
      <c r="C9" s="177" t="n"/>
      <c r="D9" s="177" t="n"/>
      <c r="E9" s="177" t="n"/>
      <c r="F9" s="177" t="n"/>
      <c r="G9" s="177" t="n"/>
      <c r="H9" s="177" t="n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7A7068"/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</cols>
  <sheetData>
    <row r="1">
      <c r="A1" s="178" t="inlineStr">
        <is>
          <t>Settings</t>
        </is>
      </c>
      <c r="B1" s="178" t="inlineStr">
        <is>
          <t>Values</t>
        </is>
      </c>
    </row>
    <row r="2">
      <c r="A2" s="159" t="inlineStr">
        <is>
          <t>Currency</t>
        </is>
      </c>
      <c r="B2" s="159" t="inlineStr">
        <is>
          <t>€</t>
        </is>
      </c>
    </row>
    <row r="3">
      <c r="A3" s="171" t="inlineStr">
        <is>
          <t>Target status: reached</t>
        </is>
      </c>
      <c r="B3" s="171" t="inlineStr">
        <is>
          <t>Tikslas pasiektas</t>
        </is>
      </c>
    </row>
    <row r="4">
      <c r="A4" s="159" t="inlineStr">
        <is>
          <t>Target status: on track</t>
        </is>
      </c>
      <c r="B4" s="159" t="inlineStr">
        <is>
          <t>Pagal planą</t>
        </is>
      </c>
    </row>
    <row r="5">
      <c r="A5" s="171" t="inlineStr">
        <is>
          <t>Target status: behind</t>
        </is>
      </c>
      <c r="B5" s="171" t="inlineStr">
        <is>
          <t>Atsiliekama</t>
        </is>
      </c>
    </row>
    <row r="6">
      <c r="A6" s="159" t="inlineStr">
        <is>
          <t>Recommendation excellent</t>
        </is>
      </c>
      <c r="B6" s="159" t="inlineStr">
        <is>
          <t>Puikus progresas – tęskite dabartinį planą.</t>
        </is>
      </c>
    </row>
    <row r="7">
      <c r="A7" s="171" t="inlineStr">
        <is>
          <t>Recommendation stable</t>
        </is>
      </c>
      <c r="B7" s="171" t="inlineStr">
        <is>
          <t>Stabilu – galima padidinti įmokas, jei norite tikslą pasiekti greičiau.</t>
        </is>
      </c>
    </row>
    <row r="8">
      <c r="A8" s="159" t="inlineStr">
        <is>
          <t>Recommendation behind</t>
        </is>
      </c>
      <c r="B8" s="159" t="inlineStr">
        <is>
          <t>Reikia koreguoti planą – peržiūrėkite įmokas arba tikslinę datą.</t>
        </is>
      </c>
    </row>
    <row r="9">
      <c r="A9" s="171" t="inlineStr">
        <is>
          <t>Recommendation risk</t>
        </is>
      </c>
      <c r="B9" s="171" t="inlineStr">
        <is>
          <t>Didelė rizika nepasiekti tikslo – pradėkite nuo mažų, bet pastovių įmokų.</t>
        </is>
      </c>
    </row>
    <row r="10">
      <c r="A10" s="159" t="inlineStr">
        <is>
          <t>Version</t>
        </is>
      </c>
      <c r="B10" s="159" t="inlineStr">
        <is>
          <t>V15</t>
        </is>
      </c>
    </row>
    <row r="11">
      <c r="A11" s="171" t="inlineStr">
        <is>
          <t>Product</t>
        </is>
      </c>
      <c r="B11" s="171" t="inlineStr">
        <is>
          <t>Savings Tracker</t>
        </is>
      </c>
    </row>
    <row r="12">
      <c r="A12" s="159" t="inlineStr">
        <is>
          <t>Brand</t>
        </is>
      </c>
      <c r="B12" s="159" t="inlineStr">
        <is>
          <t>StillOak Studio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2026-05-18T15:53:53Z</dcterms:created>
  <dcterms:modified xmlns:dcterms="http://purl.org/dc/terms/" xmlns:xsi="http://www.w3.org/2001/XMLSchema-instance" xsi:type="dcterms:W3CDTF">2026-05-18T15:53:53Z</dcterms:modified>
</cp:coreProperties>
</file>