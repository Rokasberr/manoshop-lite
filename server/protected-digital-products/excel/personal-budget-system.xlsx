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95dd6ad7c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3784cd7b778493b"/>
    <x:sheet xmlns:r="http://schemas.openxmlformats.org/officeDocument/2006/relationships" name="Inputs" sheetId="2" r:id="R6bc33d2bd35b4218"/>
    <x:sheet xmlns:r="http://schemas.openxmlformats.org/officeDocument/2006/relationships" name="Income" sheetId="3" r:id="R2e07d3d582d54142"/>
    <x:sheet xmlns:r="http://schemas.openxmlformats.org/officeDocument/2006/relationships" name="Expenses" sheetId="4" r:id="R67ac5b37c75d41a1"/>
    <x:sheet xmlns:r="http://schemas.openxmlformats.org/officeDocument/2006/relationships" name="Savings Goals" sheetId="5" r:id="R306108330b62408a"/>
    <x:sheet xmlns:r="http://schemas.openxmlformats.org/officeDocument/2006/relationships" name="Category Summary" sheetId="6" r:id="R3f41b92918f84086"/>
    <x:sheet xmlns:r="http://schemas.openxmlformats.org/officeDocument/2006/relationships" name="Monthly Review" sheetId="7" r:id="R4173abe440ff4040"/>
    <x:sheet xmlns:r="http://schemas.openxmlformats.org/officeDocument/2006/relationships" name="Dashboard" sheetId="8" r:id="R901f969af11a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#,##0"/>
    <x:numFmt numFmtId="202" formatCode="yyyy-mm-dd"/>
    <x:numFmt numFmtId="203" formatCode="0.0%"/>
    <x:numFmt numFmtId="204" formatCode="0"/>
  </x:numFmts>
  <x:fonts count="7">
    <x:font>
      <x:sz val="11"/>
      <x:name val="Carlito"/>
    </x:font>
    <x:font>
      <x:b/>
      <x:sz val="18"/>
      <x:color rgb="FFFFFF"/>
      <x:name val="Carlito"/>
    </x:font>
    <x:font>
      <x:sz val="11"/>
      <x:color rgb="DCE8DF"/>
      <x:name val="Carlito"/>
    </x:font>
    <x:font>
      <x:b/>
      <x:sz val="11"/>
      <x:color rgb="071310"/>
      <x:name val="Carlito"/>
    </x:font>
    <x:font>
      <x:b/>
      <x:sz val="11"/>
      <x:color rgb="FFFFFF"/>
      <x:name val="Carlito"/>
    </x:font>
    <x:font>
      <x:b/>
      <x:sz val="11"/>
      <x:color rgb="1D5443"/>
      <x:name val="Carlito"/>
    </x:font>
    <x:font>
      <x:sz val="11"/>
      <x:color rgb="17211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71310"/>
      </x:patternFill>
    </x:fill>
    <x:fill>
      <x:patternFill patternType="solid">
        <x:fgColor rgb="E2CA91"/>
      </x:patternFill>
    </x:fill>
    <x:fill>
      <x:patternFill patternType="solid">
        <x:fgColor rgb="1D5443"/>
      </x:patternFill>
    </x:fill>
    <x:fill>
      <x:patternFill patternType="solid">
        <x:fgColor rgb="E7F4EA"/>
      </x:patternFill>
    </x:fill>
    <x:fill>
      <x:patternFill patternType="solid">
        <x:fgColor rgb="FFF4C7"/>
      </x:patternFill>
    </x:fill>
    <x:fill>
      <x:patternFill patternType="solid">
        <x:fgColor rgb="FBF8EF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200" fontId="6" fillId="6" borderId="0" xfId="0" applyNumberFormat="1" applyFont="1" applyFill="1" applyBorder="1" applyAlignment="1">
      <x:alignment vertical="top" wrapText="1"/>
    </x:xf>
    <x:xf numFmtId="201" fontId="6" fillId="6" borderId="0" xfId="0" applyNumberFormat="1" applyFont="1" applyFill="1" applyBorder="1" applyAlignment="1">
      <x:alignment vertical="top" wrapText="1"/>
    </x:xf>
    <x:xf numFmtId="202" fontId="6" fillId="6" borderId="0" xfId="0" applyNumberFormat="1" applyFont="1" applyFill="1" applyBorder="1" applyAlignment="1">
      <x:alignment vertical="top" wrapText="1"/>
    </x:xf>
    <x:xf numFmtId="201" fontId="5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wrapText="1"/>
    </x:xf>
    <x:xf numFmtId="203" fontId="5" fillId="5" borderId="0" xfId="0" applyNumberFormat="1" applyFont="1" applyFill="1" applyBorder="1" applyAlignment="1">
      <x:alignment wrapText="1"/>
    </x:xf>
    <x:xf numFmtId="203" fontId="5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204" fontId="5" fillId="5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cba6ea69348cd" /><Relationship Type="http://schemas.openxmlformats.org/officeDocument/2006/relationships/theme" Target="/xl/theme/theme1.xml" Id="R95244b11fb6544f6" /><Relationship Type="http://schemas.openxmlformats.org/officeDocument/2006/relationships/sharedStrings" Target="/xl/sharedStrings.xml" Id="R230570bcc6f5465d" /><Relationship Type="http://schemas.openxmlformats.org/officeDocument/2006/relationships/worksheet" Target="/xl/worksheets/sheet1.xml" Id="R43784cd7b778493b" /><Relationship Type="http://schemas.openxmlformats.org/officeDocument/2006/relationships/worksheet" Target="/xl/worksheets/sheet2.xml" Id="R6bc33d2bd35b4218" /><Relationship Type="http://schemas.openxmlformats.org/officeDocument/2006/relationships/worksheet" Target="/xl/worksheets/sheet3.xml" Id="R2e07d3d582d54142" /><Relationship Type="http://schemas.openxmlformats.org/officeDocument/2006/relationships/worksheet" Target="/xl/worksheets/sheet4.xml" Id="R67ac5b37c75d41a1" /><Relationship Type="http://schemas.openxmlformats.org/officeDocument/2006/relationships/worksheet" Target="/xl/worksheets/sheet5.xml" Id="R306108330b62408a" /><Relationship Type="http://schemas.openxmlformats.org/officeDocument/2006/relationships/worksheet" Target="/xl/worksheets/sheet6.xml" Id="R3f41b92918f84086" /><Relationship Type="http://schemas.openxmlformats.org/officeDocument/2006/relationships/worksheet" Target="/xl/worksheets/sheet7.xml" Id="R4173abe440ff4040" /><Relationship Type="http://schemas.openxmlformats.org/officeDocument/2006/relationships/worksheet" Target="/xl/worksheets/sheet8.xml" Id="R901f969af11a4a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5ccec370d841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Planned vs Actual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'Dashboard'!$G$5:$G$7</c:f>
              <c:strCache>
                <c:ptCount val="0"/>
              </c:strCache>
            </c:strRef>
          </c:cat>
          <c:val>
            <c:numRef>
              <c:f>'Dashboard'!$H$5:$H$7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cat>
            <c:strRef>
              <c:f>'Dashboard'!$G$5:$G$7</c:f>
              <c:strCache>
                <c:ptCount val="0"/>
              </c:strCache>
            </c:strRef>
          </c:cat>
          <c:val>
            <c:numRef>
              <c:f>'Dashboard'!$I$5:$I$7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5ccec370d8412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5a28bbb3206642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34.31999969482422" hidden="0" customWidth="1"/>
    <x:col min="3" max="3" width="35.66999816894531" hidden="0" customWidth="1"/>
    <x:col min="4" max="4" width="30.280000686645508" hidden="0" customWidth="1"/>
    <x:col min="5" max="5" width="20.860000610351562" hidden="0" customWidth="1"/>
    <x:col min="6" max="6" width="20.860000610351562" hidden="0" customWidth="1"/>
    <x:col min="7" max="7" width="20.860000610351562" hidden="0" customWidth="1"/>
    <x:col min="8" max="8" width="20.860000610351562" hidden="0" customWidth="1"/>
  </x:cols>
  <x:sheetData>
    <x:row r="1">
      <x:c r="A1" s="5" t="str">
        <x:v>Personal Budget System V16</x:v>
      </x:c>
      <x:c r="B1" s="5" t="str">
        <x:v>Personal Budget System V16</x:v>
      </x:c>
      <x:c r="C1" s="5" t="str">
        <x:v>Personal Budget System V16</x:v>
      </x:c>
      <x:c r="D1" s="5" t="str">
        <x:v>Personal Budget System V16</x:v>
      </x:c>
      <x:c r="E1" s="5" t="str">
        <x:v>Personal Budget System V16</x:v>
      </x:c>
      <x:c r="F1" s="5" t="str">
        <x:v>Personal Budget System V16</x:v>
      </x:c>
      <x:c r="G1" s="5" t="str">
        <x:v>Personal Budget System V16</x:v>
      </x:c>
      <x:c r="H1" s="5" t="str">
        <x:v>Personal Budget System V16</x:v>
      </x:c>
    </x:row>
    <x:row r="2">
      <x:c r="A2" s="7" t="str">
        <x:v>Asmeninio biudžeto sistema su PDF gidu ir Excel modeliu.</x:v>
      </x:c>
      <x:c r="B2" s="7" t="str">
        <x:v>Asmeninio biudžeto sistema su PDF gidu ir Excel modeliu.</x:v>
      </x:c>
      <x:c r="C2" s="7" t="str">
        <x:v>Asmeninio biudžeto sistema su PDF gidu ir Excel modeliu.</x:v>
      </x:c>
      <x:c r="D2" s="7" t="str">
        <x:v>Asmeninio biudžeto sistema su PDF gidu ir Excel modeliu.</x:v>
      </x:c>
      <x:c r="E2" s="7" t="str">
        <x:v>Asmeninio biudžeto sistema su PDF gidu ir Excel modeliu.</x:v>
      </x:c>
      <x:c r="F2" s="7" t="str">
        <x:v>Asmeninio biudžeto sistema su PDF gidu ir Excel modeliu.</x:v>
      </x:c>
      <x:c r="G2" s="7" t="str">
        <x:v>Asmeninio biudžeto sistema su PDF gidu ir Excel modeliu.</x:v>
      </x:c>
      <x:c r="H2" s="7" t="str">
        <x:v>Asmeninio biudžeto sistema su PDF gidu ir Excel modeliu.</x:v>
      </x:c>
    </x:row>
    <x:row r="5">
      <x:c r="A5" s="13" t="str">
        <x:v>1</x:v>
      </x:c>
      <x:c r="B5" s="10" t="str">
        <x:v>Įveskite savo duomenis tik pažymėtuose įvesties laukeliuose.</x:v>
      </x:c>
      <x:c r="D5" s="17" t="str">
        <x:v>Spalvų gidas</x:v>
      </x:c>
      <x:c r="E5" s="17" t="str"/>
      <x:c r="F5" s="17" t="str"/>
      <x:c r="G5" s="17" t="str"/>
      <x:c r="H5" s="17" t="str"/>
    </x:row>
    <x:row r="6">
      <x:c r="A6" s="13" t="str">
        <x:v>2</x:v>
      </x:c>
      <x:c r="B6" s="10" t="str">
        <x:v>Nelieskite formulių laukelių, jeigu nenorite pakeisti skaičiavimų.</x:v>
      </x:c>
      <x:c r="D6" s="19" t="str">
        <x:v>Geltoni langeliai</x:v>
      </x:c>
      <x:c r="E6" s="19" t="str">
        <x:v>Įvestys, kurias galite keisti</x:v>
      </x:c>
      <x:c r="F6" s="19" t="str"/>
      <x:c r="G6" s="19" t="str"/>
      <x:c r="H6" s="19" t="str"/>
    </x:row>
    <x:row r="7">
      <x:c r="A7" s="13" t="str">
        <x:v>3</x:v>
      </x:c>
      <x:c r="B7" s="10" t="str">
        <x:v>Pajamų ir išlaidų duomenys automatiškai atsispindi Dashboard lape.</x:v>
      </x:c>
      <x:c r="D7" s="19" t="str">
        <x:v>Žali langeliai</x:v>
      </x:c>
      <x:c r="E7" s="19" t="str">
        <x:v>Formulės ir automatiniai rezultatai</x:v>
      </x:c>
      <x:c r="F7" s="19" t="str"/>
      <x:c r="G7" s="19" t="str"/>
      <x:c r="H7" s="19" t="str"/>
    </x:row>
    <x:row r="8">
      <x:c r="A8" s="13" t="str">
        <x:v>4</x:v>
      </x:c>
      <x:c r="B8" s="10" t="str">
        <x:v>Kiekvieną mėnesį atnaujinkite duomenis ir atlikite Monthly Review.</x:v>
      </x:c>
      <x:c r="D8" s="19" t="str">
        <x:v>Tamsūs langeliai</x:v>
      </x:c>
      <x:c r="E8" s="19" t="str">
        <x:v>Antraštės ir struktūros ženklai</x:v>
      </x:c>
      <x:c r="F8" s="19" t="str"/>
      <x:c r="G8" s="19" t="str"/>
      <x:c r="H8" s="19" t="str"/>
    </x:row>
    <x:row r="9">
      <x:c r="A9" s="13" t="str">
        <x:v>5</x:v>
      </x:c>
      <x:c r="B9" s="10" t="str">
        <x:v>Šis failas neturi makrokomandų ir neveikia su išoriniais duomenų šaltiniais.</x:v>
      </x:c>
      <x:c r="D9" s="19" t="str">
        <x:v>V16 dashboard</x:v>
      </x:c>
      <x:c r="E9" s="19" t="str">
        <x:v>Rodikliai, sveikatos balas ir rekomendacijos</x:v>
      </x:c>
      <x:c r="F9" s="19" t="str"/>
      <x:c r="G9" s="19" t="str"/>
      <x:c r="H9" s="19" t="str"/>
    </x:row>
    <x:row r="10">
      <x:c r="A10" s="13" t="str">
        <x:v>6</x:v>
      </x:c>
      <x:c r="B10" s="10" t="str">
        <x:v>Naudokite Category Summary lapą kategorijų analizei ir optimizavimui.</x:v>
      </x:c>
      <x:c r="D10" s="19" t="str">
        <x:v>Ritmas</x:v>
      </x:c>
      <x:c r="E10" s="19" t="str">
        <x:v>Pildyti kas savaitę, peržiūrėti mėnesio pabaigoje</x:v>
      </x:c>
      <x:c r="F10" s="19" t="str"/>
      <x:c r="G10" s="19" t="str"/>
      <x:c r="H10" s="19" t="str"/>
    </x:row>
  </x:sheetData>
  <x:mergeCells>
    <x:mergeCell ref="A1:H1"/>
    <x:mergeCell ref="A2:H2"/>
    <x:mergeCell ref="D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31.6299991607666" hidden="0" customWidth="1"/>
    <x:col min="3" max="3" width="55.849998474121094" hidden="0" customWidth="1"/>
    <x:col min="4" max="4" width="18.170000076293945" hidden="0" customWidth="1"/>
    <x:col min="5" max="5" width="18.170000076293945" hidden="0" customWidth="1"/>
    <x:col min="6" max="6" width="18.170000076293945" hidden="0" customWidth="1"/>
  </x:cols>
  <x:sheetData>
    <x:row r="1">
      <x:c r="A1" s="5" t="str">
        <x:v>Inputs</x:v>
      </x:c>
      <x:c r="B1" s="5" t="str">
        <x:v>Inputs</x:v>
      </x:c>
      <x:c r="C1" s="5" t="str">
        <x:v>Inputs</x:v>
      </x:c>
      <x:c r="D1" s="5" t="str">
        <x:v>Inputs</x:v>
      </x:c>
      <x:c r="E1" s="5" t="str">
        <x:v>Inputs</x:v>
      </x:c>
      <x:c r="F1" s="5" t="str">
        <x:v>Inputs</x:v>
      </x:c>
    </x:row>
    <x:row r="2">
      <x:c r="A2" s="7" t="str">
        <x:v>Mėnesio nustatymai, tikslai ir kontekstas.</x:v>
      </x:c>
      <x:c r="B2" s="7" t="str">
        <x:v>Mėnesio nustatymai, tikslai ir kontekstas.</x:v>
      </x:c>
      <x:c r="C2" s="7" t="str">
        <x:v>Mėnesio nustatymai, tikslai ir kontekstas.</x:v>
      </x:c>
      <x:c r="D2" s="7" t="str">
        <x:v>Mėnesio nustatymai, tikslai ir kontekstas.</x:v>
      </x:c>
      <x:c r="E2" s="7" t="str">
        <x:v>Mėnesio nustatymai, tikslai ir kontekstas.</x:v>
      </x:c>
      <x:c r="F2" s="7" t="str">
        <x:v>Mėnesio nustatymai, tikslai ir kontekstas.</x:v>
      </x:c>
      <x:c r="G2" s="7" t="str">
        <x:v>Mėnesio nustatymai, tikslai ir kontekstas.</x:v>
      </x:c>
      <x:c r="H2" s="7" t="str">
        <x:v>Mėnesio nustatymai, tikslai ir kontekstas.</x:v>
      </x:c>
    </x:row>
    <x:row r="4">
      <x:c r="A4" s="16" t="str">
        <x:v>Field</x:v>
      </x:c>
      <x:c r="B4" s="16" t="str">
        <x:v>Input</x:v>
      </x:c>
      <x:c r="C4" s="16" t="str">
        <x:v>Note</x:v>
      </x:c>
    </x:row>
    <x:row r="5">
      <x:c r="A5" s="10" t="str">
        <x:v>Month</x:v>
      </x:c>
      <x:c r="B5" s="25" t="str">
        <x:v>2026 gegužė</x:v>
      </x:c>
      <x:c r="C5" s="10" t="str">
        <x:v>Mėnuo, kuriam pildomas modelis.</x:v>
      </x:c>
    </x:row>
    <x:row r="6">
      <x:c r="A6" s="10" t="str">
        <x:v>Currency</x:v>
      </x:c>
      <x:c r="B6" s="25" t="str">
        <x:v>€</x:v>
      </x:c>
      <x:c r="C6" s="10" t="str">
        <x:v>Naudojama vizualiai dashboard ir lentelėse.</x:v>
      </x:c>
    </x:row>
    <x:row r="7">
      <x:c r="A7" s="10" t="str">
        <x:v>User / household name</x:v>
      </x:c>
      <x:c r="B7" s="25" t="str">
        <x:v>StillOak šeima</x:v>
      </x:c>
      <x:c r="C7" s="10" t="str">
        <x:v>Asmuo arba namų ūkis.</x:v>
      </x:c>
    </x:row>
    <x:row r="8">
      <x:c r="A8" s="10" t="str">
        <x:v>Savings target %</x:v>
      </x:c>
      <x:c r="B8" s="26" t="n">
        <x:v>0.2</x:v>
      </x:c>
      <x:c r="C8" s="10" t="str">
        <x:v>Pageidaujama mėnesio taupymo norma.</x:v>
      </x:c>
    </x:row>
    <x:row r="9">
      <x:c r="A9" s="10" t="str">
        <x:v>Emergency fund target</x:v>
      </x:c>
      <x:c r="B9" s="27" t="n">
        <x:v>3000</x:v>
      </x:c>
      <x:c r="C9" s="10" t="str">
        <x:v>Saugumo rezervo tikslas.</x:v>
      </x:c>
    </x:row>
    <x:row r="10">
      <x:c r="A10" s="10" t="str">
        <x:v>Monthly note</x:v>
      </x:c>
      <x:c r="B10" s="25" t="str">
        <x:v>Pavyzdinis mėnuo su papildomomis pajamomis ir keliomis optional išlaidomis.</x:v>
      </x:c>
      <x:c r="C10" s="10" t="str">
        <x:v>Trumpa pastaba mėnesio peržiūrai.</x:v>
      </x:c>
    </x:row>
  </x:sheetData>
  <x:mergeCells>
    <x:mergeCell ref="A1:F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27.59000015258789" hidden="0" customWidth="1"/>
    <x:col min="3" max="3" width="20.860000610351562" hidden="0" customWidth="1"/>
    <x:col min="4" max="4" width="19.520000457763672" hidden="0" customWidth="1"/>
    <x:col min="5" max="5" width="19.520000457763672" hidden="0" customWidth="1"/>
    <x:col min="6" max="6" width="16.81999969482422" hidden="0" customWidth="1"/>
    <x:col min="7" max="7" width="34.31999969482422" hidden="0" customWidth="1"/>
  </x:cols>
  <x:sheetData>
    <x:row r="1">
      <x:c r="A1" s="5" t="str">
        <x:v>Income</x:v>
      </x:c>
      <x:c r="B1" s="5" t="str">
        <x:v>Income</x:v>
      </x:c>
      <x:c r="C1" s="5" t="str">
        <x:v>Income</x:v>
      </x:c>
      <x:c r="D1" s="5" t="str">
        <x:v>Income</x:v>
      </x:c>
      <x:c r="E1" s="5" t="str">
        <x:v>Income</x:v>
      </x:c>
      <x:c r="F1" s="5" t="str">
        <x:v>Income</x:v>
      </x:c>
      <x:c r="G1" s="5" t="str">
        <x:v>Income</x:v>
      </x:c>
    </x:row>
    <x:row r="2">
      <x:c r="A2" s="7" t="str">
        <x:v>Pajamų planas, realūs skaičiai ir nukrypimai.</x:v>
      </x:c>
      <x:c r="B2" s="7" t="str">
        <x:v>Pajamų planas, realūs skaičiai ir nukrypimai.</x:v>
      </x:c>
      <x:c r="C2" s="7" t="str">
        <x:v>Pajamų planas, realūs skaičiai ir nukrypimai.</x:v>
      </x:c>
      <x:c r="D2" s="7" t="str">
        <x:v>Pajamų planas, realūs skaičiai ir nukrypimai.</x:v>
      </x:c>
      <x:c r="E2" s="7" t="str">
        <x:v>Pajamų planas, realūs skaičiai ir nukrypimai.</x:v>
      </x:c>
      <x:c r="F2" s="7" t="str">
        <x:v>Pajamų planas, realūs skaičiai ir nukrypimai.</x:v>
      </x:c>
      <x:c r="G2" s="7" t="str">
        <x:v>Pajamų planas, realūs skaičiai ir nukrypimai.</x:v>
      </x:c>
      <x:c r="H2" s="7" t="str">
        <x:v>Pajamų planas, realūs skaičiai ir nukrypimai.</x:v>
      </x:c>
    </x:row>
    <x:row r="5">
      <x:c r="A5" s="16" t="str">
        <x:v>Date</x:v>
      </x:c>
      <x:c r="B5" s="16" t="str">
        <x:v>Income Source</x:v>
      </x:c>
      <x:c r="C5" s="16" t="str">
        <x:v>Category</x:v>
      </x:c>
      <x:c r="D5" s="16" t="str">
        <x:v>Planned Income</x:v>
      </x:c>
      <x:c r="E5" s="16" t="str">
        <x:v>Actual Income</x:v>
      </x:c>
      <x:c r="F5" s="16" t="str">
        <x:v>Difference</x:v>
      </x:c>
      <x:c r="G5" s="16" t="str">
        <x:v>Notes</x:v>
      </x:c>
    </x:row>
    <x:row r="6">
      <x:c r="A6" s="28" t="n">
        <x:v>46143</x:v>
      </x:c>
      <x:c r="B6" s="25" t="str">
        <x:v>Pagrindinis atlyginimas</x:v>
      </x:c>
      <x:c r="C6" s="25" t="str">
        <x:v>Salary</x:v>
      </x:c>
      <x:c r="D6" s="27" t="n">
        <x:v>2400</x:v>
      </x:c>
      <x:c r="E6" s="27" t="n">
        <x:v>2400</x:v>
      </x:c>
      <x:c r="F6" s="29" t="n">
        <x:f>E6-D6</x:f>
        <x:v>0</x:v>
      </x:c>
      <x:c r="G6" s="25" t="str">
        <x:v>Reguliarios pajamos</x:v>
      </x:c>
    </x:row>
    <x:row r="7">
      <x:c r="A7" s="28" t="n">
        <x:v>46147</x:v>
      </x:c>
      <x:c r="B7" s="25" t="str">
        <x:v>Freelance projektas</x:v>
      </x:c>
      <x:c r="C7" s="25" t="str">
        <x:v>Freelance</x:v>
      </x:c>
      <x:c r="D7" s="27" t="n">
        <x:v>350</x:v>
      </x:c>
      <x:c r="E7" s="27" t="n">
        <x:v>420</x:v>
      </x:c>
      <x:c r="F7" s="29" t="n">
        <x:f>E7-D7</x:f>
        <x:v>70</x:v>
      </x:c>
      <x:c r="G7" s="25" t="str">
        <x:v>Papildomas darbas</x:v>
      </x:c>
    </x:row>
    <x:row r="8">
      <x:c r="A8" s="28" t="n">
        <x:v>46154</x:v>
      </x:c>
      <x:c r="B8" s="25" t="str">
        <x:v>Skaitmeninis produktas</x:v>
      </x:c>
      <x:c r="C8" s="25" t="str">
        <x:v>Side income</x:v>
      </x:c>
      <x:c r="D8" s="27" t="n">
        <x:v>120</x:v>
      </x:c>
      <x:c r="E8" s="27" t="n">
        <x:v>160</x:v>
      </x:c>
      <x:c r="F8" s="29" t="n">
        <x:f>E8-D8</x:f>
        <x:v>40</x:v>
      </x:c>
      <x:c r="G8" s="25" t="str">
        <x:v>Papildomos pajamos</x:v>
      </x:c>
    </x:row>
    <x:row r="9">
      <x:c r="A9" s="28" t="n">
        <x:v>46162</x:v>
      </x:c>
      <x:c r="B9" s="25" t="str">
        <x:v>Grąžinimas</x:v>
      </x:c>
      <x:c r="C9" s="25" t="str">
        <x:v>Other</x:v>
      </x:c>
      <x:c r="D9" s="27" t="n">
        <x:v>50</x:v>
      </x:c>
      <x:c r="E9" s="27" t="n">
        <x:v>35</x:v>
      </x:c>
      <x:c r="F9" s="29" t="n">
        <x:f>E9-D9</x:f>
        <x:v>-15</x:v>
      </x:c>
      <x:c r="G9" s="25" t="str">
        <x:v>Vienkartinė suma</x:v>
      </x:c>
    </x:row>
    <x:row r="10">
      <x:c r="A10" s="28"/>
      <x:c r="B10" s="25" t="str"/>
      <x:c r="C10" s="25" t="str"/>
      <x:c r="D10" s="27" t="n">
        <x:v>0</x:v>
      </x:c>
      <x:c r="E10" s="27" t="n">
        <x:v>0</x:v>
      </x:c>
      <x:c r="F10" s="29" t="n">
        <x:f>E10-D10</x:f>
        <x:v>0</x:v>
      </x:c>
      <x:c r="G10" s="25" t="str"/>
    </x:row>
    <x:row r="11">
      <x:c r="A11" s="28"/>
      <x:c r="B11" s="25" t="str"/>
      <x:c r="C11" s="25" t="str"/>
      <x:c r="D11" s="27" t="n">
        <x:v>0</x:v>
      </x:c>
      <x:c r="E11" s="27" t="n">
        <x:v>0</x:v>
      </x:c>
      <x:c r="F11" s="29" t="n">
        <x:f>E11-D11</x:f>
        <x:v>0</x:v>
      </x:c>
      <x:c r="G11" s="25" t="str"/>
    </x:row>
    <x:row r="12">
      <x:c r="A12" s="28"/>
      <x:c r="B12" s="25" t="str"/>
      <x:c r="C12" s="25" t="str"/>
      <x:c r="D12" s="27" t="n">
        <x:v>0</x:v>
      </x:c>
      <x:c r="E12" s="27" t="n">
        <x:v>0</x:v>
      </x:c>
      <x:c r="F12" s="29" t="n">
        <x:f>E12-D12</x:f>
        <x:v>0</x:v>
      </x:c>
      <x:c r="G12" s="25" t="str"/>
    </x:row>
    <x:row r="13">
      <x:c r="A13" s="28"/>
      <x:c r="B13" s="25" t="str"/>
      <x:c r="C13" s="25" t="str"/>
      <x:c r="D13" s="27" t="n">
        <x:v>0</x:v>
      </x:c>
      <x:c r="E13" s="27" t="n">
        <x:v>0</x:v>
      </x:c>
      <x:c r="F13" s="29" t="n">
        <x:f>E13-D13</x:f>
        <x:v>0</x:v>
      </x:c>
      <x:c r="G13" s="25" t="str"/>
    </x:row>
    <x:row r="14">
      <x:c r="A14" s="28"/>
      <x:c r="B14" s="25" t="str"/>
      <x:c r="C14" s="25" t="str"/>
      <x:c r="D14" s="27" t="n">
        <x:v>0</x:v>
      </x:c>
      <x:c r="E14" s="27" t="n">
        <x:v>0</x:v>
      </x:c>
      <x:c r="F14" s="29" t="n">
        <x:f>E14-D14</x:f>
        <x:v>0</x:v>
      </x:c>
      <x:c r="G14" s="25" t="str"/>
    </x:row>
    <x:row r="15">
      <x:c r="A15" s="28"/>
      <x:c r="B15" s="25" t="str"/>
      <x:c r="C15" s="25" t="str"/>
      <x:c r="D15" s="27" t="n">
        <x:v>0</x:v>
      </x:c>
      <x:c r="E15" s="27" t="n">
        <x:v>0</x:v>
      </x:c>
      <x:c r="F15" s="29" t="n">
        <x:f>E15-D15</x:f>
        <x:v>0</x:v>
      </x:c>
      <x:c r="G15" s="25" t="str"/>
    </x:row>
    <x:row r="16">
      <x:c r="A16" s="28"/>
      <x:c r="B16" s="25" t="str"/>
      <x:c r="C16" s="25" t="str"/>
      <x:c r="D16" s="27" t="n">
        <x:v>0</x:v>
      </x:c>
      <x:c r="E16" s="27" t="n">
        <x:v>0</x:v>
      </x:c>
      <x:c r="F16" s="29" t="n">
        <x:f>E16-D16</x:f>
        <x:v>0</x:v>
      </x:c>
      <x:c r="G16" s="25" t="str"/>
    </x:row>
    <x:row r="17">
      <x:c r="A17" s="28"/>
      <x:c r="B17" s="25" t="str"/>
      <x:c r="C17" s="25" t="str"/>
      <x:c r="D17" s="27" t="n">
        <x:v>0</x:v>
      </x:c>
      <x:c r="E17" s="27" t="n">
        <x:v>0</x:v>
      </x:c>
      <x:c r="F17" s="29" t="n">
        <x:f>E17-D17</x:f>
        <x:v>0</x:v>
      </x:c>
      <x:c r="G17" s="25" t="str"/>
    </x:row>
    <x:row r="20">
      <x:c r="A20" s="17" t="str">
        <x:v>Summary</x:v>
      </x:c>
      <x:c r="B20" s="17" t="str"/>
      <x:c r="C20" s="17" t="str"/>
      <x:c r="D20" s="17" t="str">
        <x:v>Total planned income</x:v>
      </x:c>
      <x:c r="E20" s="17" t="str">
        <x:v>Total actual income</x:v>
      </x:c>
      <x:c r="F20" s="17" t="str">
        <x:v>Income variance %</x:v>
      </x:c>
    </x:row>
    <x:row r="21">
      <x:c r="A21" t="str">
        <x:v>Formula output</x:v>
      </x:c>
      <x:c r="B21" t="str"/>
      <x:c r="C21" t="str"/>
      <x:c r="D21" s="33" t="n">
        <x:f>SUM(D6:D17)</x:f>
        <x:v>2920</x:v>
      </x:c>
      <x:c r="E21" s="33" t="n">
        <x:f>SUM(E6:E17)</x:f>
        <x:v>3015</x:v>
      </x:c>
      <x:c r="F21" s="34" t="n">
        <x:f>IFERROR((E21-D21)/D21,0)</x:f>
        <x:v>0.032534246575342464</x:v>
      </x:c>
    </x:row>
  </x:sheetData>
  <x:mergeCells>
    <x:mergeCell ref="A1:G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22.209999084472656" hidden="0" customWidth="1"/>
    <x:col min="3" max="3" width="30.280000686645508" hidden="0" customWidth="1"/>
    <x:col min="4" max="4" width="19.520000457763672" hidden="0" customWidth="1"/>
    <x:col min="5" max="5" width="19.520000457763672" hidden="0" customWidth="1"/>
    <x:col min="6" max="6" width="16.81999969482422" hidden="0" customWidth="1"/>
    <x:col min="7" max="7" width="20.860000610351562" hidden="0" customWidth="1"/>
    <x:col min="8" max="8" width="31.6299991607666" hidden="0" customWidth="1"/>
  </x:cols>
  <x:sheetData>
    <x:row r="1">
      <x:c r="A1" s="5" t="str">
        <x:v>Expenses</x:v>
      </x:c>
      <x:c r="B1" s="5" t="str">
        <x:v>Expenses</x:v>
      </x:c>
      <x:c r="C1" s="5" t="str">
        <x:v>Expenses</x:v>
      </x:c>
      <x:c r="D1" s="5" t="str">
        <x:v>Expenses</x:v>
      </x:c>
      <x:c r="E1" s="5" t="str">
        <x:v>Expenses</x:v>
      </x:c>
      <x:c r="F1" s="5" t="str">
        <x:v>Expenses</x:v>
      </x:c>
      <x:c r="G1" s="5" t="str">
        <x:v>Expenses</x:v>
      </x:c>
      <x:c r="H1" s="5" t="str">
        <x:v>Expenses</x:v>
      </x:c>
    </x:row>
    <x:row r="2">
      <x:c r="A2" s="7" t="str">
        <x:v>Išlaidų planas, realūs skaičiai ir būtinybės lygis.</x:v>
      </x:c>
      <x:c r="B2" s="7" t="str">
        <x:v>Išlaidų planas, realūs skaičiai ir būtinybės lygis.</x:v>
      </x:c>
      <x:c r="C2" s="7" t="str">
        <x:v>Išlaidų planas, realūs skaičiai ir būtinybės lygis.</x:v>
      </x:c>
      <x:c r="D2" s="7" t="str">
        <x:v>Išlaidų planas, realūs skaičiai ir būtinybės lygis.</x:v>
      </x:c>
      <x:c r="E2" s="7" t="str">
        <x:v>Išlaidų planas, realūs skaičiai ir būtinybės lygis.</x:v>
      </x:c>
      <x:c r="F2" s="7" t="str">
        <x:v>Išlaidų planas, realūs skaičiai ir būtinybės lygis.</x:v>
      </x:c>
      <x:c r="G2" s="7" t="str">
        <x:v>Išlaidų planas, realūs skaičiai ir būtinybės lygis.</x:v>
      </x:c>
      <x:c r="H2" s="7" t="str">
        <x:v>Išlaidų planas, realūs skaičiai ir būtinybės lygis.</x:v>
      </x:c>
    </x:row>
    <x:row r="5">
      <x:c r="A5" s="16" t="str">
        <x:v>Date</x:v>
      </x:c>
      <x:c r="B5" s="16" t="str">
        <x:v>Expense Category</x:v>
      </x:c>
      <x:c r="C5" s="16" t="str">
        <x:v>Description</x:v>
      </x:c>
      <x:c r="D5" s="16" t="str">
        <x:v>Planned Expense</x:v>
      </x:c>
      <x:c r="E5" s="16" t="str">
        <x:v>Actual Expense</x:v>
      </x:c>
      <x:c r="F5" s="16" t="str">
        <x:v>Difference</x:v>
      </x:c>
      <x:c r="G5" s="16" t="str">
        <x:v>Type</x:v>
      </x:c>
      <x:c r="H5" s="16" t="str">
        <x:v>Notes</x:v>
      </x:c>
    </x:row>
    <x:row r="6">
      <x:c r="A6" s="28" t="n">
        <x:v>46144</x:v>
      </x:c>
      <x:c r="B6" s="25" t="str">
        <x:v>Housing</x:v>
      </x:c>
      <x:c r="C6" s="25" t="str">
        <x:v>Nuoma</x:v>
      </x:c>
      <x:c r="D6" s="27" t="n">
        <x:v>850</x:v>
      </x:c>
      <x:c r="E6" s="27" t="n">
        <x:v>850</x:v>
      </x:c>
      <x:c r="F6" s="29" t="n">
        <x:f>D6-E6</x:f>
        <x:v>0</x:v>
      </x:c>
      <x:c r="G6" s="25" t="str">
        <x:v>Essential</x:v>
      </x:c>
      <x:c r="H6" s="25" t="str">
        <x:v>Pastovi išlaida</x:v>
      </x:c>
    </x:row>
    <x:row r="7">
      <x:c r="A7" s="28" t="n">
        <x:v>46145</x:v>
      </x:c>
      <x:c r="B7" s="25" t="str">
        <x:v>Food</x:v>
      </x:c>
      <x:c r="C7" s="25" t="str">
        <x:v>Maisto produktai</x:v>
      </x:c>
      <x:c r="D7" s="27" t="n">
        <x:v>420</x:v>
      </x:c>
      <x:c r="E7" s="27" t="n">
        <x:v>455</x:v>
      </x:c>
      <x:c r="F7" s="29" t="n">
        <x:f>D7-E7</x:f>
        <x:v>-35</x:v>
      </x:c>
      <x:c r="G7" s="25" t="str">
        <x:v>Essential</x:v>
      </x:c>
      <x:c r="H7" s="25" t="str">
        <x:v>Šiek tiek virš plano</x:v>
      </x:c>
    </x:row>
    <x:row r="8">
      <x:c r="A8" s="28" t="n">
        <x:v>46146</x:v>
      </x:c>
      <x:c r="B8" s="25" t="str">
        <x:v>Transport</x:v>
      </x:c>
      <x:c r="C8" s="25" t="str">
        <x:v>Kuras ir viešasis transportas</x:v>
      </x:c>
      <x:c r="D8" s="27" t="n">
        <x:v>120</x:v>
      </x:c>
      <x:c r="E8" s="27" t="n">
        <x:v>110</x:v>
      </x:c>
      <x:c r="F8" s="29" t="n">
        <x:f>D8-E8</x:f>
        <x:v>10</x:v>
      </x:c>
      <x:c r="G8" s="25" t="str">
        <x:v>Essential</x:v>
      </x:c>
      <x:c r="H8" s="25" t="str"/>
    </x:row>
    <x:row r="9">
      <x:c r="A9" s="28" t="n">
        <x:v>46147</x:v>
      </x:c>
      <x:c r="B9" s="25" t="str">
        <x:v>Utilities</x:v>
      </x:c>
      <x:c r="C9" s="25" t="str">
        <x:v>Elektra, vanduo, internetas</x:v>
      </x:c>
      <x:c r="D9" s="27" t="n">
        <x:v>160</x:v>
      </x:c>
      <x:c r="E9" s="27" t="n">
        <x:v>148</x:v>
      </x:c>
      <x:c r="F9" s="29" t="n">
        <x:f>D9-E9</x:f>
        <x:v>12</x:v>
      </x:c>
      <x:c r="G9" s="25" t="str">
        <x:v>Essential</x:v>
      </x:c>
      <x:c r="H9" s="25" t="str"/>
    </x:row>
    <x:row r="10">
      <x:c r="A10" s="28" t="n">
        <x:v>46148</x:v>
      </x:c>
      <x:c r="B10" s="25" t="str">
        <x:v>Subscriptions</x:v>
      </x:c>
      <x:c r="C10" s="25" t="str">
        <x:v>Programėlės ir narystės</x:v>
      </x:c>
      <x:c r="D10" s="27" t="n">
        <x:v>55</x:v>
      </x:c>
      <x:c r="E10" s="27" t="n">
        <x:v>68</x:v>
      </x:c>
      <x:c r="F10" s="29" t="n">
        <x:f>D10-E10</x:f>
        <x:v>-13</x:v>
      </x:c>
      <x:c r="G10" s="25" t="str">
        <x:v>Optional</x:v>
      </x:c>
      <x:c r="H10" s="25" t="str">
        <x:v>Patikrinti prenumeratas</x:v>
      </x:c>
    </x:row>
    <x:row r="11">
      <x:c r="A11" s="28" t="n">
        <x:v>46152</x:v>
      </x:c>
      <x:c r="B11" s="25" t="str">
        <x:v>Health</x:v>
      </x:c>
      <x:c r="C11" s="25" t="str">
        <x:v>Vaistinė</x:v>
      </x:c>
      <x:c r="D11" s="27" t="n">
        <x:v>70</x:v>
      </x:c>
      <x:c r="E11" s="27" t="n">
        <x:v>45</x:v>
      </x:c>
      <x:c r="F11" s="29" t="n">
        <x:f>D11-E11</x:f>
        <x:v>25</x:v>
      </x:c>
      <x:c r="G11" s="25" t="str">
        <x:v>Essential</x:v>
      </x:c>
      <x:c r="H11" s="25" t="str"/>
    </x:row>
    <x:row r="12">
      <x:c r="A12" s="28" t="n">
        <x:v>46154</x:v>
      </x:c>
      <x:c r="B12" s="25" t="str">
        <x:v>Education</x:v>
      </x:c>
      <x:c r="C12" s="25" t="str">
        <x:v>Kursas</x:v>
      </x:c>
      <x:c r="D12" s="27" t="n">
        <x:v>90</x:v>
      </x:c>
      <x:c r="E12" s="27" t="n">
        <x:v>90</x:v>
      </x:c>
      <x:c r="F12" s="29" t="n">
        <x:f>D12-E12</x:f>
        <x:v>0</x:v>
      </x:c>
      <x:c r="G12" s="25" t="str">
        <x:v>Optional</x:v>
      </x:c>
      <x:c r="H12" s="25" t="str"/>
    </x:row>
    <x:row r="13">
      <x:c r="A13" s="28" t="n">
        <x:v>46156</x:v>
      </x:c>
      <x:c r="B13" s="25" t="str">
        <x:v>Entertainment</x:v>
      </x:c>
      <x:c r="C13" s="25" t="str">
        <x:v>Kinas ir kavinės</x:v>
      </x:c>
      <x:c r="D13" s="27" t="n">
        <x:v>130</x:v>
      </x:c>
      <x:c r="E13" s="27" t="n">
        <x:v>165</x:v>
      </x:c>
      <x:c r="F13" s="29" t="n">
        <x:f>D13-E13</x:f>
        <x:v>-35</x:v>
      </x:c>
      <x:c r="G13" s="25" t="str">
        <x:v>Optional</x:v>
      </x:c>
      <x:c r="H13" s="25" t="str">
        <x:v>Lengva sumažinti</x:v>
      </x:c>
    </x:row>
    <x:row r="14">
      <x:c r="A14" s="28" t="n">
        <x:v>46160</x:v>
      </x:c>
      <x:c r="B14" s="25" t="str">
        <x:v>Shopping</x:v>
      </x:c>
      <x:c r="C14" s="25" t="str">
        <x:v>Drabužiai</x:v>
      </x:c>
      <x:c r="D14" s="27" t="n">
        <x:v>150</x:v>
      </x:c>
      <x:c r="E14" s="27" t="n">
        <x:v>210</x:v>
      </x:c>
      <x:c r="F14" s="29" t="n">
        <x:f>D14-E14</x:f>
        <x:v>-60</x:v>
      </x:c>
      <x:c r="G14" s="25" t="str">
        <x:v>Optional</x:v>
      </x:c>
      <x:c r="H14" s="25" t="str">
        <x:v>Didžiausias nukrypimas</x:v>
      </x:c>
    </x:row>
    <x:row r="15">
      <x:c r="A15" s="28" t="n">
        <x:v>46164</x:v>
      </x:c>
      <x:c r="B15" s="25" t="str">
        <x:v>Other</x:v>
      </x:c>
      <x:c r="C15" s="25" t="str">
        <x:v>Dovanos</x:v>
      </x:c>
      <x:c r="D15" s="27" t="n">
        <x:v>80</x:v>
      </x:c>
      <x:c r="E15" s="27" t="n">
        <x:v>70</x:v>
      </x:c>
      <x:c r="F15" s="29" t="n">
        <x:f>D15-E15</x:f>
        <x:v>10</x:v>
      </x:c>
      <x:c r="G15" s="25" t="str">
        <x:v>Optional</x:v>
      </x:c>
      <x:c r="H15" s="25" t="str"/>
    </x:row>
    <x:row r="16">
      <x:c r="A16" s="28"/>
      <x:c r="B16" s="25" t="str">
        <x:v>Housing</x:v>
      </x:c>
      <x:c r="C16" s="25" t="str"/>
      <x:c r="D16" s="27" t="n">
        <x:v>0</x:v>
      </x:c>
      <x:c r="E16" s="27" t="n">
        <x:v>0</x:v>
      </x:c>
      <x:c r="F16" s="29" t="n">
        <x:f>D16-E16</x:f>
        <x:v>0</x:v>
      </x:c>
      <x:c r="G16" s="25" t="str">
        <x:v>Essential</x:v>
      </x:c>
      <x:c r="H16" s="25" t="str"/>
    </x:row>
    <x:row r="17">
      <x:c r="A17" s="28"/>
      <x:c r="B17" s="25" t="str">
        <x:v>Food</x:v>
      </x:c>
      <x:c r="C17" s="25" t="str"/>
      <x:c r="D17" s="27" t="n">
        <x:v>0</x:v>
      </x:c>
      <x:c r="E17" s="27" t="n">
        <x:v>0</x:v>
      </x:c>
      <x:c r="F17" s="29" t="n">
        <x:f>D17-E17</x:f>
        <x:v>0</x:v>
      </x:c>
      <x:c r="G17" s="25" t="str">
        <x:v>Essential</x:v>
      </x:c>
      <x:c r="H17" s="25" t="str"/>
    </x:row>
    <x:row r="18">
      <x:c r="A18" s="28"/>
      <x:c r="B18" s="25" t="str">
        <x:v>Transport</x:v>
      </x:c>
      <x:c r="C18" s="25" t="str"/>
      <x:c r="D18" s="27" t="n">
        <x:v>0</x:v>
      </x:c>
      <x:c r="E18" s="27" t="n">
        <x:v>0</x:v>
      </x:c>
      <x:c r="F18" s="29" t="n">
        <x:f>D18-E18</x:f>
        <x:v>0</x:v>
      </x:c>
      <x:c r="G18" s="25" t="str">
        <x:v>Essential</x:v>
      </x:c>
      <x:c r="H18" s="25" t="str"/>
    </x:row>
    <x:row r="19">
      <x:c r="A19" s="28"/>
      <x:c r="B19" s="25" t="str">
        <x:v>Utilities</x:v>
      </x:c>
      <x:c r="C19" s="25" t="str"/>
      <x:c r="D19" s="27" t="n">
        <x:v>0</x:v>
      </x:c>
      <x:c r="E19" s="27" t="n">
        <x:v>0</x:v>
      </x:c>
      <x:c r="F19" s="29" t="n">
        <x:f>D19-E19</x:f>
        <x:v>0</x:v>
      </x:c>
      <x:c r="G19" s="25" t="str">
        <x:v>Essential</x:v>
      </x:c>
      <x:c r="H19" s="25" t="str"/>
    </x:row>
    <x:row r="20">
      <x:c r="A20" s="28"/>
      <x:c r="B20" s="25" t="str">
        <x:v>Subscriptions</x:v>
      </x:c>
      <x:c r="C20" s="25" t="str"/>
      <x:c r="D20" s="27" t="n">
        <x:v>0</x:v>
      </x:c>
      <x:c r="E20" s="27" t="n">
        <x:v>0</x:v>
      </x:c>
      <x:c r="F20" s="29" t="n">
        <x:f>D20-E20</x:f>
        <x:v>0</x:v>
      </x:c>
      <x:c r="G20" s="25" t="str">
        <x:v>Optional</x:v>
      </x:c>
      <x:c r="H20" s="25" t="str"/>
    </x:row>
    <x:row r="21">
      <x:c r="A21" s="28"/>
      <x:c r="B21" s="25" t="str">
        <x:v>Health</x:v>
      </x:c>
      <x:c r="C21" s="25" t="str"/>
      <x:c r="D21" s="27" t="n">
        <x:v>0</x:v>
      </x:c>
      <x:c r="E21" s="27" t="n">
        <x:v>0</x:v>
      </x:c>
      <x:c r="F21" s="29" t="n">
        <x:f>D21-E21</x:f>
        <x:v>0</x:v>
      </x:c>
      <x:c r="G21" s="25" t="str">
        <x:v>Essential</x:v>
      </x:c>
      <x:c r="H21" s="25" t="str"/>
    </x:row>
    <x:row r="22">
      <x:c r="A22" s="28"/>
      <x:c r="B22" s="25" t="str">
        <x:v>Education</x:v>
      </x:c>
      <x:c r="C22" s="25" t="str"/>
      <x:c r="D22" s="27" t="n">
        <x:v>0</x:v>
      </x:c>
      <x:c r="E22" s="27" t="n">
        <x:v>0</x:v>
      </x:c>
      <x:c r="F22" s="29" t="n">
        <x:f>D22-E22</x:f>
        <x:v>0</x:v>
      </x:c>
      <x:c r="G22" s="25" t="str">
        <x:v>Optional</x:v>
      </x:c>
      <x:c r="H22" s="25" t="str"/>
    </x:row>
    <x:row r="23">
      <x:c r="A23" s="28"/>
      <x:c r="B23" s="25" t="str">
        <x:v>Entertainment</x:v>
      </x:c>
      <x:c r="C23" s="25" t="str"/>
      <x:c r="D23" s="27" t="n">
        <x:v>0</x:v>
      </x:c>
      <x:c r="E23" s="27" t="n">
        <x:v>0</x:v>
      </x:c>
      <x:c r="F23" s="29" t="n">
        <x:f>D23-E23</x:f>
        <x:v>0</x:v>
      </x:c>
      <x:c r="G23" s="25" t="str">
        <x:v>Optional</x:v>
      </x:c>
      <x:c r="H23" s="25" t="str"/>
    </x:row>
    <x:row r="24">
      <x:c r="A24" s="28"/>
      <x:c r="B24" s="25" t="str">
        <x:v>Shopping</x:v>
      </x:c>
      <x:c r="C24" s="25" t="str"/>
      <x:c r="D24" s="27" t="n">
        <x:v>0</x:v>
      </x:c>
      <x:c r="E24" s="27" t="n">
        <x:v>0</x:v>
      </x:c>
      <x:c r="F24" s="29" t="n">
        <x:f>D24-E24</x:f>
        <x:v>0</x:v>
      </x:c>
      <x:c r="G24" s="25" t="str">
        <x:v>Optional</x:v>
      </x:c>
      <x:c r="H24" s="25" t="str"/>
    </x:row>
    <x:row r="25">
      <x:c r="A25" s="28"/>
      <x:c r="B25" s="25" t="str">
        <x:v>Other</x:v>
      </x:c>
      <x:c r="C25" s="25" t="str"/>
      <x:c r="D25" s="27" t="n">
        <x:v>0</x:v>
      </x:c>
      <x:c r="E25" s="27" t="n">
        <x:v>0</x:v>
      </x:c>
      <x:c r="F25" s="29" t="n">
        <x:f>D25-E25</x:f>
        <x:v>0</x:v>
      </x:c>
      <x:c r="G25" s="25" t="str">
        <x:v>Optional</x:v>
      </x:c>
      <x:c r="H25" s="25" t="str"/>
    </x:row>
    <x:row r="26">
      <x:c r="A26" s="28"/>
      <x:c r="B26" s="25" t="str"/>
      <x:c r="C26" s="25" t="str"/>
      <x:c r="D26" s="27" t="n">
        <x:v>0</x:v>
      </x:c>
      <x:c r="E26" s="27" t="n">
        <x:v>0</x:v>
      </x:c>
      <x:c r="F26" s="29" t="n">
        <x:f>D26-E26</x:f>
        <x:v>0</x:v>
      </x:c>
      <x:c r="G26" s="25" t="str"/>
      <x:c r="H26" s="25" t="str"/>
    </x:row>
    <x:row r="27">
      <x:c r="A27" s="28"/>
      <x:c r="B27" s="25" t="str"/>
      <x:c r="C27" s="25" t="str"/>
      <x:c r="D27" s="27" t="n">
        <x:v>0</x:v>
      </x:c>
      <x:c r="E27" s="27" t="n">
        <x:v>0</x:v>
      </x:c>
      <x:c r="F27" s="29" t="n">
        <x:f>D27-E27</x:f>
        <x:v>0</x:v>
      </x:c>
      <x:c r="G27" s="25" t="str"/>
      <x:c r="H27" s="25" t="str"/>
    </x:row>
    <x:row r="30">
      <x:c r="A30" s="17" t="str">
        <x:v>Summary</x:v>
      </x:c>
      <x:c r="B30" s="17" t="str"/>
      <x:c r="C30" s="17" t="str"/>
      <x:c r="D30" s="17" t="str">
        <x:v>Total planned expenses</x:v>
      </x:c>
      <x:c r="E30" s="17" t="str">
        <x:v>Total actual expenses</x:v>
      </x:c>
      <x:c r="F30" s="17" t="str">
        <x:v>Expense variance</x:v>
      </x:c>
    </x:row>
    <x:row r="31">
      <x:c r="A31" t="str">
        <x:v>Formula output</x:v>
      </x:c>
      <x:c r="B31" t="str"/>
      <x:c r="C31" t="str"/>
      <x:c r="D31" s="33" t="n">
        <x:f>SUM(D6:D27)</x:f>
        <x:v>2125</x:v>
      </x:c>
      <x:c r="E31" s="33" t="n">
        <x:f>SUM(E6:E27)</x:f>
        <x:v>2211</x:v>
      </x:c>
      <x:c r="F31" s="33" t="n">
        <x:f>D31-E31</x:f>
        <x:v>-86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19.520000457763672" hidden="0" customWidth="1"/>
    <x:col min="3" max="3" width="19.520000457763672" hidden="0" customWidth="1"/>
    <x:col min="4" max="4" width="22.209999084472656" hidden="0" customWidth="1"/>
    <x:col min="5" max="5" width="20.860000610351562" hidden="0" customWidth="1"/>
    <x:col min="6" max="6" width="16.81999969482422" hidden="0" customWidth="1"/>
    <x:col min="7" max="7" width="22.209999084472656" hidden="0" customWidth="1"/>
  </x:cols>
  <x:sheetData>
    <x:row r="1">
      <x:c r="A1" s="5" t="str">
        <x:v>Savings Goals</x:v>
      </x:c>
      <x:c r="B1" s="5" t="str">
        <x:v>Savings Goals</x:v>
      </x:c>
      <x:c r="C1" s="5" t="str">
        <x:v>Savings Goals</x:v>
      </x:c>
      <x:c r="D1" s="5" t="str">
        <x:v>Savings Goals</x:v>
      </x:c>
      <x:c r="E1" s="5" t="str">
        <x:v>Savings Goals</x:v>
      </x:c>
      <x:c r="F1" s="5" t="str">
        <x:v>Savings Goals</x:v>
      </x:c>
      <x:c r="G1" s="5" t="str">
        <x:v>Savings Goals</x:v>
      </x:c>
    </x:row>
    <x:row r="2">
      <x:c r="A2" s="7" t="str">
        <x:v>Tikslai, likusi suma, progresas ir statusas.</x:v>
      </x:c>
      <x:c r="B2" s="7" t="str">
        <x:v>Tikslai, likusi suma, progresas ir statusas.</x:v>
      </x:c>
      <x:c r="C2" s="7" t="str">
        <x:v>Tikslai, likusi suma, progresas ir statusas.</x:v>
      </x:c>
      <x:c r="D2" s="7" t="str">
        <x:v>Tikslai, likusi suma, progresas ir statusas.</x:v>
      </x:c>
      <x:c r="E2" s="7" t="str">
        <x:v>Tikslai, likusi suma, progresas ir statusas.</x:v>
      </x:c>
      <x:c r="F2" s="7" t="str">
        <x:v>Tikslai, likusi suma, progresas ir statusas.</x:v>
      </x:c>
      <x:c r="G2" s="7" t="str">
        <x:v>Tikslai, likusi suma, progresas ir statusas.</x:v>
      </x:c>
      <x:c r="H2" s="7" t="str">
        <x:v>Tikslai, likusi suma, progresas ir statusas.</x:v>
      </x:c>
    </x:row>
    <x:row r="5">
      <x:c r="A5" s="16" t="str">
        <x:v>Goal Name</x:v>
      </x:c>
      <x:c r="B5" s="16" t="str">
        <x:v>Target Amount</x:v>
      </x:c>
      <x:c r="C5" s="16" t="str">
        <x:v>Current Saved</x:v>
      </x:c>
      <x:c r="D5" s="16" t="str">
        <x:v>Monthly Contribution</x:v>
      </x:c>
      <x:c r="E5" s="16" t="str">
        <x:v>Remaining Amount</x:v>
      </x:c>
      <x:c r="F5" s="16" t="str">
        <x:v>Progress %</x:v>
      </x:c>
      <x:c r="G5" s="16" t="str">
        <x:v>Status</x:v>
      </x:c>
    </x:row>
    <x:row r="6">
      <x:c r="A6" s="25" t="str">
        <x:v>Emergency fund</x:v>
      </x:c>
      <x:c r="B6" s="27" t="n">
        <x:v>3000</x:v>
      </x:c>
      <x:c r="C6" s="27" t="n">
        <x:v>1100</x:v>
      </x:c>
      <x:c r="D6" s="27" t="n">
        <x:v>250</x:v>
      </x:c>
      <x:c r="E6" s="29" t="n">
        <x:f>MAX(B6-C6,0)</x:f>
        <x:v>1900</x:v>
      </x:c>
      <x:c r="F6" s="35" t="n">
        <x:f>IFERROR(C6/B6,0)</x:f>
        <x:v>0.36666666666666664</x:v>
      </x:c>
      <x:c r="G6" s="19" t="str">
        <x:f>IF(F6&gt;=1,"Goal reached",IF(D6&gt;=E6/6,"On track","Needs attention"))</x:f>
        <x:v>Needs attention</x:v>
      </x:c>
    </x:row>
    <x:row r="7">
      <x:c r="A7" s="25" t="str">
        <x:v>Kelionė</x:v>
      </x:c>
      <x:c r="B7" s="27" t="n">
        <x:v>1800</x:v>
      </x:c>
      <x:c r="C7" s="27" t="n">
        <x:v>640</x:v>
      </x:c>
      <x:c r="D7" s="27" t="n">
        <x:v>150</x:v>
      </x:c>
      <x:c r="E7" s="29" t="n">
        <x:f>MAX(B7-C7,0)</x:f>
        <x:v>1160</x:v>
      </x:c>
      <x:c r="F7" s="35" t="n">
        <x:f>IFERROR(C7/B7,0)</x:f>
        <x:v>0.35555555555555557</x:v>
      </x:c>
      <x:c r="G7" s="19" t="str">
        <x:f>IF(F7&gt;=1,"Goal reached",IF(D7&gt;=E7/6,"On track","Needs attention"))</x:f>
        <x:v>Needs attention</x:v>
      </x:c>
    </x:row>
    <x:row r="8">
      <x:c r="A8" s="25" t="str">
        <x:v>Investavimo pradžia</x:v>
      </x:c>
      <x:c r="B8" s="27" t="n">
        <x:v>1200</x:v>
      </x:c>
      <x:c r="C8" s="27" t="n">
        <x:v>300</x:v>
      </x:c>
      <x:c r="D8" s="27" t="n">
        <x:v>120</x:v>
      </x:c>
      <x:c r="E8" s="29" t="n">
        <x:f>MAX(B8-C8,0)</x:f>
        <x:v>900</x:v>
      </x:c>
      <x:c r="F8" s="35" t="n">
        <x:f>IFERROR(C8/B8,0)</x:f>
        <x:v>0.25</x:v>
      </x:c>
      <x:c r="G8" s="19" t="str">
        <x:f>IF(F8&gt;=1,"Goal reached",IF(D8&gt;=E8/6,"On track","Needs attention"))</x:f>
        <x:v>Needs attention</x:v>
      </x:c>
    </x:row>
    <x:row r="9">
      <x:c r="A9" s="25" t="str">
        <x:v>Namų atnaujinimas</x:v>
      </x:c>
      <x:c r="B9" s="27" t="n">
        <x:v>900</x:v>
      </x:c>
      <x:c r="C9" s="27" t="n">
        <x:v>220</x:v>
      </x:c>
      <x:c r="D9" s="27" t="n">
        <x:v>80</x:v>
      </x:c>
      <x:c r="E9" s="29" t="n">
        <x:f>MAX(B9-C9,0)</x:f>
        <x:v>680</x:v>
      </x:c>
      <x:c r="F9" s="35" t="n">
        <x:f>IFERROR(C9/B9,0)</x:f>
        <x:v>0.24444444444444444</x:v>
      </x:c>
      <x:c r="G9" s="19" t="str">
        <x:f>IF(F9&gt;=1,"Goal reached",IF(D9&gt;=E9/6,"On track","Needs attention"))</x:f>
        <x:v>Needs attention</x:v>
      </x:c>
    </x:row>
    <x:row r="10">
      <x:c r="A10" s="25" t="str">
        <x:v>Mokymosi fondas</x:v>
      </x:c>
      <x:c r="B10" s="27" t="n">
        <x:v>600</x:v>
      </x:c>
      <x:c r="C10" s="27" t="n">
        <x:v>180</x:v>
      </x:c>
      <x:c r="D10" s="27" t="n">
        <x:v>60</x:v>
      </x:c>
      <x:c r="E10" s="29" t="n">
        <x:f>MAX(B10-C10,0)</x:f>
        <x:v>420</x:v>
      </x:c>
      <x:c r="F10" s="35" t="n">
        <x:f>IFERROR(C10/B10,0)</x:f>
        <x:v>0.3</x:v>
      </x:c>
      <x:c r="G10" s="19" t="str">
        <x:f>IF(F10&gt;=1,"Goal reached",IF(D10&gt;=E10/6,"On track","Needs attention"))</x:f>
        <x:v>Needs attention</x:v>
      </x:c>
    </x:row>
    <x:row r="11">
      <x:c r="A11" s="25" t="str"/>
      <x:c r="B11" s="27" t="n">
        <x:v>0</x:v>
      </x:c>
      <x:c r="C11" s="27" t="n">
        <x:v>0</x:v>
      </x:c>
      <x:c r="D11" s="27" t="n">
        <x:v>0</x:v>
      </x:c>
      <x:c r="E11" s="29" t="n">
        <x:f>MAX(B11-C11,0)</x:f>
        <x:v>0</x:v>
      </x:c>
      <x:c r="F11" s="35" t="n">
        <x:f>IFERROR(C11/B11,0)</x:f>
        <x:v>0</x:v>
      </x:c>
      <x:c r="G11" s="19" t="str">
        <x:f>IF(F11&gt;=1,"Goal reached",IF(D11&gt;=E11/6,"On track","Needs attention"))</x:f>
        <x:v>On track</x:v>
      </x:c>
    </x:row>
    <x:row r="12">
      <x:c r="A12" s="25" t="str"/>
      <x:c r="B12" s="27" t="n">
        <x:v>0</x:v>
      </x:c>
      <x:c r="C12" s="27" t="n">
        <x:v>0</x:v>
      </x:c>
      <x:c r="D12" s="27" t="n">
        <x:v>0</x:v>
      </x:c>
      <x:c r="E12" s="29" t="n">
        <x:f>MAX(B12-C12,0)</x:f>
        <x:v>0</x:v>
      </x:c>
      <x:c r="F12" s="35" t="n">
        <x:f>IFERROR(C12/B12,0)</x:f>
        <x:v>0</x:v>
      </x:c>
      <x:c r="G12" s="19" t="str">
        <x:f>IF(F12&gt;=1,"Goal reached",IF(D12&gt;=E12/6,"On track","Needs attention"))</x:f>
        <x:v>On track</x:v>
      </x:c>
    </x:row>
    <x:row r="13">
      <x:c r="A13" s="25" t="str"/>
      <x:c r="B13" s="27" t="n">
        <x:v>0</x:v>
      </x:c>
      <x:c r="C13" s="27" t="n">
        <x:v>0</x:v>
      </x:c>
      <x:c r="D13" s="27" t="n">
        <x:v>0</x:v>
      </x:c>
      <x:c r="E13" s="29" t="n">
        <x:f>MAX(B13-C13,0)</x:f>
        <x:v>0</x:v>
      </x:c>
      <x:c r="F13" s="35" t="n">
        <x:f>IFERROR(C13/B13,0)</x:f>
        <x:v>0</x:v>
      </x:c>
      <x:c r="G13" s="19" t="str">
        <x:f>IF(F13&gt;=1,"Goal reached",IF(D13&gt;=E13/6,"On track","Needs attention"))</x:f>
        <x:v>On track</x:v>
      </x:c>
    </x:row>
  </x:sheetData>
  <x:mergeCells>
    <x:mergeCell ref="A1:G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19.520000457763672" hidden="0" customWidth="1"/>
    <x:col min="3" max="3" width="19.520000457763672" hidden="0" customWidth="1"/>
    <x:col min="4" max="4" width="16.81999969482422" hidden="0" customWidth="1"/>
    <x:col min="5" max="5" width="19.520000457763672" hidden="0" customWidth="1"/>
    <x:col min="6" max="6" width="22.209999084472656" hidden="0" customWidth="1"/>
  </x:cols>
  <x:sheetData>
    <x:row r="1">
      <x:c r="A1" s="5" t="str">
        <x:v>Category Summary</x:v>
      </x:c>
      <x:c r="B1" s="5" t="str">
        <x:v>Category Summary</x:v>
      </x:c>
      <x:c r="C1" s="5" t="str">
        <x:v>Category Summary</x:v>
      </x:c>
      <x:c r="D1" s="5" t="str">
        <x:v>Category Summary</x:v>
      </x:c>
      <x:c r="E1" s="5" t="str">
        <x:v>Category Summary</x:v>
      </x:c>
      <x:c r="F1" s="5" t="str">
        <x:v>Category Summary</x:v>
      </x:c>
    </x:row>
    <x:row r="2">
      <x:c r="A2" s="7" t="str">
        <x:v>Automatinė išlaidų kategorijų analizė.</x:v>
      </x:c>
      <x:c r="B2" s="7" t="str">
        <x:v>Automatinė išlaidų kategorijų analizė.</x:v>
      </x:c>
      <x:c r="C2" s="7" t="str">
        <x:v>Automatinė išlaidų kategorijų analizė.</x:v>
      </x:c>
      <x:c r="D2" s="7" t="str">
        <x:v>Automatinė išlaidų kategorijų analizė.</x:v>
      </x:c>
      <x:c r="E2" s="7" t="str">
        <x:v>Automatinė išlaidų kategorijų analizė.</x:v>
      </x:c>
      <x:c r="F2" s="7" t="str">
        <x:v>Automatinė išlaidų kategorijų analizė.</x:v>
      </x:c>
      <x:c r="G2" s="7" t="str">
        <x:v>Automatinė išlaidų kategorijų analizė.</x:v>
      </x:c>
      <x:c r="H2" s="7" t="str">
        <x:v>Automatinė išlaidų kategorijų analizė.</x:v>
      </x:c>
    </x:row>
    <x:row r="5">
      <x:c r="A5" s="16" t="str">
        <x:v>Category</x:v>
      </x:c>
      <x:c r="B5" s="16" t="str">
        <x:v>Planned Total</x:v>
      </x:c>
      <x:c r="C5" s="16" t="str">
        <x:v>Actual Total</x:v>
      </x:c>
      <x:c r="D5" s="16" t="str">
        <x:v>Difference</x:v>
      </x:c>
      <x:c r="E5" s="16" t="str">
        <x:v>% of Total Spending</x:v>
      </x:c>
      <x:c r="F5" s="16" t="str">
        <x:v>Status</x:v>
      </x:c>
    </x:row>
    <x:row r="6">
      <x:c r="A6" s="10" t="str">
        <x:v>Housing</x:v>
      </x:c>
      <x:c r="B6" s="29" t="n">
        <x:f>SUMIF(Expenses!$B$6:$B$27,A6,Expenses!$D$6:$D$27)</x:f>
        <x:v>850</x:v>
      </x:c>
      <x:c r="C6" s="29" t="n">
        <x:f>SUMIF(Expenses!$B$6:$B$27,A6,Expenses!$E$6:$E$27)</x:f>
        <x:v>850</x:v>
      </x:c>
      <x:c r="D6" s="29" t="n">
        <x:f>B6-C6</x:f>
        <x:v>0</x:v>
      </x:c>
      <x:c r="E6" s="35" t="n">
        <x:f>IFERROR(C6/SUM($C$6:$C$15),0)</x:f>
        <x:v>0.38444142921754865</x:v>
      </x:c>
      <x:c r="F6" s="19" t="str">
        <x:f>IF(C6=0,"No data",IF(D6&gt;=0,"On plan","Over plan"))</x:f>
        <x:v>On plan</x:v>
      </x:c>
    </x:row>
    <x:row r="7">
      <x:c r="A7" s="10" t="str">
        <x:v>Food</x:v>
      </x:c>
      <x:c r="B7" s="29" t="n">
        <x:f>SUMIF(Expenses!$B$6:$B$27,A7,Expenses!$D$6:$D$27)</x:f>
        <x:v>420</x:v>
      </x:c>
      <x:c r="C7" s="29" t="n">
        <x:f>SUMIF(Expenses!$B$6:$B$27,A7,Expenses!$E$6:$E$27)</x:f>
        <x:v>455</x:v>
      </x:c>
      <x:c r="D7" s="29" t="n">
        <x:f>B7-C7</x:f>
        <x:v>-35</x:v>
      </x:c>
      <x:c r="E7" s="35" t="n">
        <x:f>IFERROR(C7/SUM($C$6:$C$15),0)</x:f>
        <x:v>0.20578923563998192</x:v>
      </x:c>
      <x:c r="F7" s="19" t="str">
        <x:f>IF(C7=0,"No data",IF(D7&gt;=0,"On plan","Over plan"))</x:f>
        <x:v>Over plan</x:v>
      </x:c>
    </x:row>
    <x:row r="8">
      <x:c r="A8" s="10" t="str">
        <x:v>Transport</x:v>
      </x:c>
      <x:c r="B8" s="29" t="n">
        <x:f>SUMIF(Expenses!$B$6:$B$27,A8,Expenses!$D$6:$D$27)</x:f>
        <x:v>120</x:v>
      </x:c>
      <x:c r="C8" s="29" t="n">
        <x:f>SUMIF(Expenses!$B$6:$B$27,A8,Expenses!$E$6:$E$27)</x:f>
        <x:v>110</x:v>
      </x:c>
      <x:c r="D8" s="29" t="n">
        <x:f>B8-C8</x:f>
        <x:v>10</x:v>
      </x:c>
      <x:c r="E8" s="35" t="n">
        <x:f>IFERROR(C8/SUM($C$6:$C$15),0)</x:f>
        <x:v>0.04975124378109453</x:v>
      </x:c>
      <x:c r="F8" s="19" t="str">
        <x:f>IF(C8=0,"No data",IF(D8&gt;=0,"On plan","Over plan"))</x:f>
        <x:v>On plan</x:v>
      </x:c>
    </x:row>
    <x:row r="9">
      <x:c r="A9" s="10" t="str">
        <x:v>Utilities</x:v>
      </x:c>
      <x:c r="B9" s="29" t="n">
        <x:f>SUMIF(Expenses!$B$6:$B$27,A9,Expenses!$D$6:$D$27)</x:f>
        <x:v>160</x:v>
      </x:c>
      <x:c r="C9" s="29" t="n">
        <x:f>SUMIF(Expenses!$B$6:$B$27,A9,Expenses!$E$6:$E$27)</x:f>
        <x:v>148</x:v>
      </x:c>
      <x:c r="D9" s="29" t="n">
        <x:f>B9-C9</x:f>
        <x:v>12</x:v>
      </x:c>
      <x:c r="E9" s="35" t="n">
        <x:f>IFERROR(C9/SUM($C$6:$C$15),0)</x:f>
        <x:v>0.06693803708729082</x:v>
      </x:c>
      <x:c r="F9" s="19" t="str">
        <x:f>IF(C9=0,"No data",IF(D9&gt;=0,"On plan","Over plan"))</x:f>
        <x:v>On plan</x:v>
      </x:c>
    </x:row>
    <x:row r="10">
      <x:c r="A10" s="10" t="str">
        <x:v>Subscriptions</x:v>
      </x:c>
      <x:c r="B10" s="29" t="n">
        <x:f>SUMIF(Expenses!$B$6:$B$27,A10,Expenses!$D$6:$D$27)</x:f>
        <x:v>55</x:v>
      </x:c>
      <x:c r="C10" s="29" t="n">
        <x:f>SUMIF(Expenses!$B$6:$B$27,A10,Expenses!$E$6:$E$27)</x:f>
        <x:v>68</x:v>
      </x:c>
      <x:c r="D10" s="29" t="n">
        <x:f>B10-C10</x:f>
        <x:v>-13</x:v>
      </x:c>
      <x:c r="E10" s="35" t="n">
        <x:f>IFERROR(C10/SUM($C$6:$C$15),0)</x:f>
        <x:v>0.03075531433740389</x:v>
      </x:c>
      <x:c r="F10" s="19" t="str">
        <x:f>IF(C10=0,"No data",IF(D10&gt;=0,"On plan","Over plan"))</x:f>
        <x:v>Over plan</x:v>
      </x:c>
    </x:row>
    <x:row r="11">
      <x:c r="A11" s="10" t="str">
        <x:v>Health</x:v>
      </x:c>
      <x:c r="B11" s="29" t="n">
        <x:f>SUMIF(Expenses!$B$6:$B$27,A11,Expenses!$D$6:$D$27)</x:f>
        <x:v>70</x:v>
      </x:c>
      <x:c r="C11" s="29" t="n">
        <x:f>SUMIF(Expenses!$B$6:$B$27,A11,Expenses!$E$6:$E$27)</x:f>
        <x:v>45</x:v>
      </x:c>
      <x:c r="D11" s="29" t="n">
        <x:f>B11-C11</x:f>
        <x:v>25</x:v>
      </x:c>
      <x:c r="E11" s="35" t="n">
        <x:f>IFERROR(C11/SUM($C$6:$C$15),0)</x:f>
        <x:v>0.0203527815468114</x:v>
      </x:c>
      <x:c r="F11" s="19" t="str">
        <x:f>IF(C11=0,"No data",IF(D11&gt;=0,"On plan","Over plan"))</x:f>
        <x:v>On plan</x:v>
      </x:c>
    </x:row>
    <x:row r="12">
      <x:c r="A12" s="10" t="str">
        <x:v>Education</x:v>
      </x:c>
      <x:c r="B12" s="29" t="n">
        <x:f>SUMIF(Expenses!$B$6:$B$27,A12,Expenses!$D$6:$D$27)</x:f>
        <x:v>90</x:v>
      </x:c>
      <x:c r="C12" s="29" t="n">
        <x:f>SUMIF(Expenses!$B$6:$B$27,A12,Expenses!$E$6:$E$27)</x:f>
        <x:v>90</x:v>
      </x:c>
      <x:c r="D12" s="29" t="n">
        <x:f>B12-C12</x:f>
        <x:v>0</x:v>
      </x:c>
      <x:c r="E12" s="35" t="n">
        <x:f>IFERROR(C12/SUM($C$6:$C$15),0)</x:f>
        <x:v>0.0407055630936228</x:v>
      </x:c>
      <x:c r="F12" s="19" t="str">
        <x:f>IF(C12=0,"No data",IF(D12&gt;=0,"On plan","Over plan"))</x:f>
        <x:v>On plan</x:v>
      </x:c>
    </x:row>
    <x:row r="13">
      <x:c r="A13" s="10" t="str">
        <x:v>Entertainment</x:v>
      </x:c>
      <x:c r="B13" s="29" t="n">
        <x:f>SUMIF(Expenses!$B$6:$B$27,A13,Expenses!$D$6:$D$27)</x:f>
        <x:v>130</x:v>
      </x:c>
      <x:c r="C13" s="29" t="n">
        <x:f>SUMIF(Expenses!$B$6:$B$27,A13,Expenses!$E$6:$E$27)</x:f>
        <x:v>165</x:v>
      </x:c>
      <x:c r="D13" s="29" t="n">
        <x:f>B13-C13</x:f>
        <x:v>-35</x:v>
      </x:c>
      <x:c r="E13" s="35" t="n">
        <x:f>IFERROR(C13/SUM($C$6:$C$15),0)</x:f>
        <x:v>0.07462686567164178</x:v>
      </x:c>
      <x:c r="F13" s="19" t="str">
        <x:f>IF(C13=0,"No data",IF(D13&gt;=0,"On plan","Over plan"))</x:f>
        <x:v>Over plan</x:v>
      </x:c>
    </x:row>
    <x:row r="14">
      <x:c r="A14" s="10" t="str">
        <x:v>Shopping</x:v>
      </x:c>
      <x:c r="B14" s="29" t="n">
        <x:f>SUMIF(Expenses!$B$6:$B$27,A14,Expenses!$D$6:$D$27)</x:f>
        <x:v>150</x:v>
      </x:c>
      <x:c r="C14" s="29" t="n">
        <x:f>SUMIF(Expenses!$B$6:$B$27,A14,Expenses!$E$6:$E$27)</x:f>
        <x:v>210</x:v>
      </x:c>
      <x:c r="D14" s="29" t="n">
        <x:f>B14-C14</x:f>
        <x:v>-60</x:v>
      </x:c>
      <x:c r="E14" s="35" t="n">
        <x:f>IFERROR(C14/SUM($C$6:$C$15),0)</x:f>
        <x:v>0.09497964721845319</x:v>
      </x:c>
      <x:c r="F14" s="19" t="str">
        <x:f>IF(C14=0,"No data",IF(D14&gt;=0,"On plan","Over plan"))</x:f>
        <x:v>Over plan</x:v>
      </x:c>
    </x:row>
    <x:row r="15">
      <x:c r="A15" s="10" t="str">
        <x:v>Other</x:v>
      </x:c>
      <x:c r="B15" s="29" t="n">
        <x:f>SUMIF(Expenses!$B$6:$B$27,A15,Expenses!$D$6:$D$27)</x:f>
        <x:v>80</x:v>
      </x:c>
      <x:c r="C15" s="29" t="n">
        <x:f>SUMIF(Expenses!$B$6:$B$27,A15,Expenses!$E$6:$E$27)</x:f>
        <x:v>70</x:v>
      </x:c>
      <x:c r="D15" s="29" t="n">
        <x:f>B15-C15</x:f>
        <x:v>10</x:v>
      </x:c>
      <x:c r="E15" s="35" t="n">
        <x:f>IFERROR(C15/SUM($C$6:$C$15),0)</x:f>
        <x:v>0.031659882406151064</x:v>
      </x:c>
      <x:c r="F15" s="19" t="str">
        <x:f>IF(C15=0,"No data",IF(D15&gt;=0,"On plan","Over plan"))</x:f>
        <x:v>On plan</x:v>
      </x:c>
    </x:row>
    <x:row r="16">
      <x:c r="A16" s="10"/>
      <x:c r="B16" s="29"/>
      <x:c r="C16" s="29"/>
      <x:c r="D16" s="29"/>
      <x:c r="E16" s="19"/>
      <x:c r="F16" s="19"/>
    </x:row>
    <x:row r="17">
      <x:c r="A17" s="10" t="str">
        <x:v>Summary</x:v>
      </x:c>
      <x:c r="B17" s="29" t="str">
        <x:v>Average spending per category</x:v>
      </x:c>
      <x:c r="C17" s="29" t="str">
        <x:v>Largest category amount</x:v>
      </x:c>
      <x:c r="D17" s="29" t="str">
        <x:v>Categories over plan</x:v>
      </x:c>
      <x:c r="E17" s="19" t="str">
        <x:v>Optional spending</x:v>
      </x:c>
      <x:c r="F17" s="19" t="str">
        <x:v>Essential spending</x:v>
      </x:c>
    </x:row>
    <x:row r="18">
      <x:c r="A18" s="10" t="str">
        <x:v>Formula output</x:v>
      </x:c>
      <x:c r="B18" s="29" t="n">
        <x:f>AVERAGE(C6:C15)</x:f>
        <x:v>221.1</x:v>
      </x:c>
      <x:c r="C18" s="29" t="n">
        <x:f>MAX(C6:C15)</x:f>
        <x:v>850</x:v>
      </x:c>
      <x:c r="D18" s="29" t="n">
        <x:f>COUNTIF(F6:F15,"Over plan")</x:f>
        <x:v>4</x:v>
      </x:c>
      <x:c r="E18" s="29" t="n">
        <x:f>SUMIF(Expenses!$G$6:$G$27,"Optional",Expenses!$E$6:$E$27)</x:f>
        <x:v>603</x:v>
      </x:c>
      <x:c r="F18" s="29" t="n">
        <x:f>SUMIF(Expenses!$G$6:$G$27,"Essential",Expenses!$E$6:$E$27)</x:f>
        <x:v>1608</x:v>
      </x:c>
    </x:row>
  </x:sheetData>
  <x:mergeCells>
    <x:mergeCell ref="A1:F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70000076293945" hidden="0" customWidth="1"/>
    <x:col min="2" max="2" width="72.01000213623047" hidden="0" customWidth="1"/>
    <x:col min="3" max="3" width="23.549999237060547" hidden="0" customWidth="1"/>
    <x:col min="4" max="4" width="23.549999237060547" hidden="0" customWidth="1"/>
  </x:cols>
  <x:sheetData>
    <x:row r="1">
      <x:c r="A1" s="5" t="str">
        <x:v>Monthly Review</x:v>
      </x:c>
      <x:c r="B1" s="5" t="str">
        <x:v>Monthly Review</x:v>
      </x:c>
      <x:c r="C1" s="5" t="str">
        <x:v>Monthly Review</x:v>
      </x:c>
      <x:c r="D1" s="5" t="str">
        <x:v>Monthly Review</x:v>
      </x:c>
    </x:row>
    <x:row r="2">
      <x:c r="A2" s="7" t="str">
        <x:v>Mėnesio refleksija ir trijų veiksmų planas.</x:v>
      </x:c>
      <x:c r="B2" s="7" t="str">
        <x:v>Mėnesio refleksija ir trijų veiksmų planas.</x:v>
      </x:c>
      <x:c r="C2" s="7" t="str">
        <x:v>Mėnesio refleksija ir trijų veiksmų planas.</x:v>
      </x:c>
      <x:c r="D2" s="7" t="str">
        <x:v>Mėnesio refleksija ir trijų veiksmų planas.</x:v>
      </x:c>
      <x:c r="E2" s="7" t="str">
        <x:v>Mėnesio refleksija ir trijų veiksmų planas.</x:v>
      </x:c>
      <x:c r="F2" s="7" t="str">
        <x:v>Mėnesio refleksija ir trijų veiksmų planas.</x:v>
      </x:c>
      <x:c r="G2" s="7" t="str">
        <x:v>Mėnesio refleksija ir trijų veiksmų planas.</x:v>
      </x:c>
      <x:c r="H2" s="7" t="str">
        <x:v>Mėnesio refleksija ir trijų veiksmų planas.</x:v>
      </x:c>
    </x:row>
    <x:row r="4">
      <x:c r="A4" s="16" t="str">
        <x:v>Klausimas</x:v>
      </x:c>
      <x:c r="B4" s="16" t="str">
        <x:v>Atsakymas</x:v>
      </x:c>
    </x:row>
    <x:row r="5">
      <x:c r="A5" s="10" t="str">
        <x:v>Kas šį mėnesį pavyko geriausiai?</x:v>
      </x:c>
      <x:c r="B5" s="25" t="str">
        <x:v>Pajamos viršijo planą, o pagrindinės būtinos išlaidos liko stabilios.</x:v>
      </x:c>
    </x:row>
    <x:row r="6">
      <x:c r="A6" s="10" t="str">
        <x:v>Didžiausios išlaidos</x:v>
      </x:c>
      <x:c r="B6" s="19" t="str">
        <x:f>Dashboard!B13</x:f>
        <x:v>Housing</x:v>
      </x:c>
    </x:row>
    <x:row r="7">
      <x:c r="A7" s="10" t="str">
        <x:v>Nebūtinos išlaidos, kurias galima mažinti</x:v>
      </x:c>
      <x:c r="B7" s="25" t="str">
        <x:v>Pramogos, pirkiniai ir nenaudojamos prenumeratos.</x:v>
      </x:c>
    </x:row>
    <x:row r="8">
      <x:c r="A8" s="10" t="str">
        <x:v>Didžiausias finansinis laimėjimas</x:v>
      </x:c>
      <x:c r="B8" s="25" t="str">
        <x:v>Mėnesio balansas liko teigiamas ir viršijo taupymo tikslą.</x:v>
      </x:c>
    </x:row>
    <x:row r="9">
      <x:c r="A9" s="10" t="str">
        <x:v>Ką koreguoti kitą mėnesį?</x:v>
      </x:c>
      <x:c r="B9" s="25" t="str">
        <x:v>Mažinti optional išlaidas ir iš anksto suplanuoti pirkinius.</x:v>
      </x:c>
    </x:row>
    <x:row r="10">
      <x:c r="A10" s="10" t="str">
        <x:v>Review date</x:v>
      </x:c>
      <x:c r="B10" s="28" t="n">
        <x:v>46173</x:v>
      </x:c>
    </x:row>
    <x:row r="13">
      <x:c r="A13" s="16" t="str">
        <x:v>3 veiksmai kitam mėnesiui</x:v>
      </x:c>
      <x:c r="B13" s="16" t="str"/>
    </x:row>
    <x:row r="14">
      <x:c r="A14" s="10" t="str">
        <x:v>1</x:v>
      </x:c>
      <x:c r="B14" s="25" t="str">
        <x:v>Atšaukti nenaudojamas prenumeratas iki kito mėnesio 5 dienos.</x:v>
      </x:c>
    </x:row>
    <x:row r="15">
      <x:c r="A15" s="10" t="str">
        <x:v>2</x:v>
      </x:c>
      <x:c r="B15" s="25" t="str">
        <x:v>Nustatyti savaitinį maisto ir pramogų limitą.</x:v>
      </x:c>
    </x:row>
    <x:row r="16">
      <x:c r="A16" s="10" t="str">
        <x:v>3</x:v>
      </x:c>
      <x:c r="B16" s="25" t="str">
        <x:v>Padidinti automatinį taupymo pervedimą iki tikslinės normos.</x:v>
      </x:c>
    </x:row>
  </x:sheetData>
  <x:mergeCells>
    <x:mergeCell ref="A1:D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970001220703125" hidden="0" customWidth="1"/>
    <x:col min="2" max="2" width="24.899999618530273" hidden="0" customWidth="1"/>
    <x:col min="3" max="3" width="3.9000000953674316" hidden="0" customWidth="1"/>
    <x:col min="4" max="4" width="32.970001220703125" hidden="0" customWidth="1"/>
    <x:col min="5" max="5" width="24.899999618530273" hidden="0" customWidth="1"/>
    <x:col min="6" max="6" width="3.9000000953674316" hidden="0" customWidth="1"/>
    <x:col min="7" max="7" width="20.860000610351562" hidden="0" customWidth="1"/>
    <x:col min="8" max="8" width="20.860000610351562" hidden="0" customWidth="1"/>
    <x:col min="9" max="9" width="20.860000610351562" hidden="0" customWidth="1"/>
  </x:cols>
  <x:sheetData>
    <x:row r="1">
      <x:c r="A1" s="5" t="str">
        <x:v>Dashboard</x:v>
      </x:c>
      <x:c r="B1" s="5" t="str">
        <x:v>Dashboard</x:v>
      </x:c>
      <x:c r="C1" s="5" t="str">
        <x:v>Dashboard</x:v>
      </x:c>
      <x:c r="D1" s="5" t="str">
        <x:v>Dashboard</x:v>
      </x:c>
      <x:c r="E1" s="5" t="str">
        <x:v>Dashboard</x:v>
      </x:c>
      <x:c r="F1" s="5" t="str">
        <x:v>Dashboard</x:v>
      </x:c>
      <x:c r="G1" s="5" t="str">
        <x:v>Dashboard</x:v>
      </x:c>
      <x:c r="H1" s="5" t="str">
        <x:v>Dashboard</x:v>
      </x:c>
      <x:c r="I1" s="5" t="str">
        <x:v>Dashboard</x:v>
      </x:c>
    </x:row>
    <x:row r="2">
      <x:c r="A2" s="7" t="str">
        <x:v>V16 automatinė biudžeto apžvalga, sveikatos balas ir rekomendacijos.</x:v>
      </x:c>
      <x:c r="B2" s="7" t="str">
        <x:v>V16 automatinė biudžeto apžvalga, sveikatos balas ir rekomendacijos.</x:v>
      </x:c>
      <x:c r="C2" s="7" t="str">
        <x:v>V16 automatinė biudžeto apžvalga, sveikatos balas ir rekomendacijos.</x:v>
      </x:c>
      <x:c r="D2" s="7" t="str">
        <x:v>V16 automatinė biudžeto apžvalga, sveikatos balas ir rekomendacijos.</x:v>
      </x:c>
      <x:c r="E2" s="7" t="str">
        <x:v>V16 automatinė biudžeto apžvalga, sveikatos balas ir rekomendacijos.</x:v>
      </x:c>
      <x:c r="F2" s="7" t="str">
        <x:v>V16 automatinė biudžeto apžvalga, sveikatos balas ir rekomendacijos.</x:v>
      </x:c>
      <x:c r="G2" s="7" t="str">
        <x:v>V16 automatinė biudžeto apžvalga, sveikatos balas ir rekomendacijos.</x:v>
      </x:c>
      <x:c r="H2" s="7" t="str">
        <x:v>V16 automatinė biudžeto apžvalga, sveikatos balas ir rekomendacijos.</x:v>
      </x:c>
    </x:row>
    <x:row r="4">
      <x:c r="A4" s="16" t="str">
        <x:v>Metric</x:v>
      </x:c>
      <x:c r="B4" s="16" t="str">
        <x:v>Value</x:v>
      </x:c>
      <x:c r="D4" s="16" t="str">
        <x:v>Profile</x:v>
      </x:c>
      <x:c r="E4" s="16" t="str">
        <x:v>Value</x:v>
      </x:c>
      <x:c r="G4" s="16" t="str">
        <x:v>Type</x:v>
      </x:c>
      <x:c r="H4" s="16" t="str">
        <x:v>Planned</x:v>
      </x:c>
      <x:c r="I4" s="16" t="str">
        <x:v>Actual</x:v>
      </x:c>
    </x:row>
    <x:row r="5">
      <x:c r="A5" s="10" t="str">
        <x:v>Total actual income</x:v>
      </x:c>
      <x:c r="B5" s="29" t="n">
        <x:f>Income!E21</x:f>
        <x:v>3015</x:v>
      </x:c>
      <x:c r="D5" s="10" t="str">
        <x:v>Month</x:v>
      </x:c>
      <x:c r="E5" s="19" t="str">
        <x:f>Inputs!B5</x:f>
        <x:v>2026 gegužė</x:v>
      </x:c>
      <x:c r="G5" s="10" t="str">
        <x:v>Income</x:v>
      </x:c>
      <x:c r="H5" s="29" t="n">
        <x:f>Income!D21</x:f>
        <x:v>2920</x:v>
      </x:c>
      <x:c r="I5" s="29" t="n">
        <x:f>Income!E21</x:f>
        <x:v>3015</x:v>
      </x:c>
    </x:row>
    <x:row r="6">
      <x:c r="A6" s="10" t="str">
        <x:v>Total actual expenses</x:v>
      </x:c>
      <x:c r="B6" s="29" t="n">
        <x:f>Expenses!E31</x:f>
        <x:v>2211</x:v>
      </x:c>
      <x:c r="D6" s="10" t="str">
        <x:v>Currency</x:v>
      </x:c>
      <x:c r="E6" s="19" t="str">
        <x:f>Inputs!B6</x:f>
        <x:v>€</x:v>
      </x:c>
      <x:c r="G6" s="10" t="str">
        <x:v>Expenses</x:v>
      </x:c>
      <x:c r="H6" s="29" t="n">
        <x:f>Expenses!D31</x:f>
        <x:v>2125</x:v>
      </x:c>
      <x:c r="I6" s="29" t="n">
        <x:f>Expenses!E31</x:f>
        <x:v>2211</x:v>
      </x:c>
    </x:row>
    <x:row r="7">
      <x:c r="A7" s="10" t="str">
        <x:v>Monthly balance</x:v>
      </x:c>
      <x:c r="B7" s="29" t="n">
        <x:f>B5-B6</x:f>
        <x:v>804</x:v>
      </x:c>
      <x:c r="D7" s="10" t="str">
        <x:v>User / household</x:v>
      </x:c>
      <x:c r="E7" s="19" t="str">
        <x:f>Inputs!B7</x:f>
        <x:v>StillOak šeima</x:v>
      </x:c>
      <x:c r="G7" s="10" t="str">
        <x:v>Balance</x:v>
      </x:c>
      <x:c r="H7" s="29" t="n">
        <x:f>Income!D21-Expenses!D31</x:f>
        <x:v>795</x:v>
      </x:c>
      <x:c r="I7" s="29" t="n">
        <x:f>Income!E21-Expenses!E31</x:f>
        <x:v>804</x:v>
      </x:c>
    </x:row>
    <x:row r="8">
      <x:c r="A8" s="10" t="str">
        <x:v>Savings rate %</x:v>
      </x:c>
      <x:c r="B8" s="35" t="n">
        <x:f>IFERROR(B7/B5,0)</x:f>
        <x:v>0.26666666666666666</x:v>
      </x:c>
      <x:c r="D8" s="10" t="str">
        <x:v>Savings target</x:v>
      </x:c>
      <x:c r="E8" s="40" t="n">
        <x:f>Inputs!B8</x:f>
        <x:v>0.2</x:v>
      </x:c>
    </x:row>
    <x:row r="9">
      <x:c r="A9" s="10" t="str">
        <x:v>Planned vs actual income</x:v>
      </x:c>
      <x:c r="B9" s="29" t="n">
        <x:f>Income!E21-Income!D21</x:f>
        <x:v>95</x:v>
      </x:c>
      <x:c r="D9" s="10" t="str">
        <x:v>Emergency fund target</x:v>
      </x:c>
      <x:c r="E9" s="29" t="n">
        <x:f>Inputs!B9</x:f>
        <x:v>3000</x:v>
      </x:c>
    </x:row>
    <x:row r="10">
      <x:c r="A10" s="10" t="str">
        <x:v>Planned vs actual expenses</x:v>
      </x:c>
      <x:c r="B10" s="29" t="n">
        <x:f>Expenses!E31-Expenses!D31</x:f>
        <x:v>86</x:v>
      </x:c>
      <x:c r="D10" s="10" t="str">
        <x:v>Monthly note</x:v>
      </x:c>
      <x:c r="E10" s="19" t="str">
        <x:f>Inputs!B10</x:f>
        <x:v>Pavyzdinis mėnuo su papildomomis pajamomis ir keliomis optional išlaidomis.</x:v>
      </x:c>
    </x:row>
    <x:row r="11">
      <x:c r="A11" s="10" t="str">
        <x:v>Essential expenses</x:v>
      </x:c>
      <x:c r="B11" s="29" t="n">
        <x:f>'Category Summary'!F18</x:f>
        <x:v>1608</x:v>
      </x:c>
    </x:row>
    <x:row r="12">
      <x:c r="A12" s="10" t="str">
        <x:v>Optional expenses</x:v>
      </x:c>
      <x:c r="B12" s="29" t="n">
        <x:f>'Category Summary'!E18</x:f>
        <x:v>603</x:v>
      </x:c>
    </x:row>
    <x:row r="13">
      <x:c r="A13" s="10" t="str">
        <x:v>Largest expense category</x:v>
      </x:c>
      <x:c r="B13" s="19" t="str">
        <x:f>INDEX('Category Summary'!A6:A15,MATCH(MAX('Category Summary'!C6:C15),'Category Summary'!C6:C15,0))</x:f>
        <x:v>Housing</x:v>
      </x:c>
    </x:row>
    <x:row r="14">
      <x:c r="A14" s="10" t="str">
        <x:v>Emergency fund progress</x:v>
      </x:c>
      <x:c r="B14" s="29" t="n">
        <x:f>IFERROR(SUM('Savings Goals'!C6:C13)/Inputs!B9,0)</x:f>
        <x:v>0.8133333333333334</x:v>
      </x:c>
    </x:row>
    <x:row r="15">
      <x:c r="A15" s="10" t="str">
        <x:v>Savings goal progress</x:v>
      </x:c>
      <x:c r="B15" s="35" t="n">
        <x:f>IFERROR(SUM('Savings Goals'!C6:C13)/SUM('Savings Goals'!B6:B13),0)</x:f>
        <x:v>0.3253333333333333</x:v>
      </x:c>
    </x:row>
    <x:row r="16">
      <x:c r="A16" s="10" t="str">
        <x:v>Average spending per category</x:v>
      </x:c>
      <x:c r="B16" s="35" t="n">
        <x:f>'Category Summary'!B18</x:f>
        <x:v>221.1</x:v>
      </x:c>
    </x:row>
    <x:row r="17">
      <x:c r="A17" s="10" t="str">
        <x:v>Optional spending ratio</x:v>
      </x:c>
      <x:c r="B17" s="37" t="n">
        <x:f>IFERROR(B12/B6,0)</x:f>
        <x:v>0.2727272727272727</x:v>
      </x:c>
    </x:row>
    <x:row r="18">
      <x:c r="A18" s="10" t="str">
        <x:v>Budget health score</x:v>
      </x:c>
      <x:c r="B18" s="19" t="n">
        <x:f>MIN(100,MAX(0,IF(B7&gt;0,25,0)+MIN(B8/20%,1)*25+(1-MIN(B17/40%,1))*25+MIN(B15,1)*25))</x:f>
        <x:v>66.0878787878788</x:v>
      </x:c>
    </x:row>
    <x:row r="19">
      <x:c r="A19" s="10" t="str">
        <x:v>Budget status message</x:v>
      </x:c>
      <x:c r="B19" s="39" t="str">
        <x:f>IF(B7&lt;0,"Išlaidos viršijo pajamas – reikia mažinti išlaidas.",IF(B8&gt;=20%,"Stiprus mėnuo – taupymo norma gera.",IF(B8&gt;=10%,"Stabilus mėnuo – galima dar optimizuoti išlaidas.","Reikia peržiūrėti išlaidas ir padidinti taupymą.")))</x:f>
        <x:v>Stiprus mėnuo – taupymo norma gera.</x:v>
      </x:c>
    </x:row>
    <x:row r="20">
      <x:c r="A20" s="10" t="str">
        <x:v>Recommendation message</x:v>
      </x:c>
      <x:c r="B20" s="39" t="str">
        <x:f>IF(B18&gt;=80,"Puiki finansinė kryptis – tęskite dabartinį planą.",IF(B18&gt;=60,"Stabilu, bet verta optimizuoti kelias išlaidų kategorijas.",IF(B18&gt;=40,"Reikia peržiūrėti išlaidas ir sustiprinti taupymo planą.","Biudžetą būtina koreguoti – pradėkite nuo nebūtinų išlaidų mažinimo.")))</x:f>
        <x:v>Stabilu, bet verta optimizuoti kelias išlaidų kategorijas.</x:v>
      </x:c>
    </x:row>
  </x:sheetData>
  <x:mergeCells>
    <x:mergeCell ref="A1:I1"/>
    <x:mergeCell ref="A2:H2"/>
  </x:mergeCells>
  <x:pageMargins left="0.7" right="0.7" top="0.75" bottom="0.75" header="0.3" footer="0.3"/>
  <x:drawing xmlns:r="http://schemas.openxmlformats.org/officeDocument/2006/relationships" r:id="R5a28bbb3206642ee"/>
</x:worksheet>
</file>