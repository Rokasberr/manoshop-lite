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2f7da1678746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cbf63b8351c4fcb"/>
    <x:sheet xmlns:r="http://schemas.openxmlformats.org/officeDocument/2006/relationships" name="Inputs" sheetId="2" r:id="Rb4df4b9ef32d4069"/>
    <x:sheet xmlns:r="http://schemas.openxmlformats.org/officeDocument/2006/relationships" name="Income" sheetId="3" r:id="Rb2ba2120dfd34c6e"/>
    <x:sheet xmlns:r="http://schemas.openxmlformats.org/officeDocument/2006/relationships" name="Expenses" sheetId="4" r:id="Rcddb5dbc729f4f34"/>
    <x:sheet xmlns:r="http://schemas.openxmlformats.org/officeDocument/2006/relationships" name="Savings Goals" sheetId="5" r:id="R48e26a39d98d459e"/>
    <x:sheet xmlns:r="http://schemas.openxmlformats.org/officeDocument/2006/relationships" name="Monthly Review" sheetId="6" r:id="R7d50d3001174437c"/>
    <x:sheet xmlns:r="http://schemas.openxmlformats.org/officeDocument/2006/relationships" name="Dashboard" sheetId="7" r:id="Rb285efe16e2c48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#,##0"/>
    <x:numFmt numFmtId="202" formatCode="yyyy-mm-dd"/>
    <x:numFmt numFmtId="203" formatCode="0.0%"/>
  </x:numFmts>
  <x:fonts count="8">
    <x:font>
      <x:sz val="11"/>
      <x:name val="Carlito"/>
    </x:font>
    <x:font>
      <x:b/>
      <x:sz val="18"/>
      <x:color rgb="FFFFFF"/>
      <x:name val="Carlito"/>
    </x:font>
    <x:font>
      <x:sz val="11"/>
      <x:color rgb="DCE8DF"/>
      <x:name val="Carlito"/>
    </x:font>
    <x:font>
      <x:b/>
      <x:sz val="16"/>
      <x:color rgb="1D5443"/>
      <x:name val="Carlito"/>
    </x:font>
    <x:font>
      <x:b/>
      <x:sz val="11"/>
      <x:color rgb="071310"/>
      <x:name val="Carlito"/>
    </x:font>
    <x:font>
      <x:b/>
      <x:sz val="11"/>
      <x:color rgb="FFFFFF"/>
      <x:name val="Carlito"/>
    </x:font>
    <x:font>
      <x:sz val="11"/>
      <x:color rgb="1F2A24"/>
      <x:name val="Carlito"/>
    </x:font>
    <x:font>
      <x:b/>
      <x:sz val="11"/>
      <x:color rgb="17382E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071310"/>
      </x:patternFill>
    </x:fill>
    <x:fill>
      <x:patternFill patternType="solid">
        <x:fgColor rgb="E2CA91"/>
      </x:patternFill>
    </x:fill>
    <x:fill>
      <x:patternFill patternType="solid">
        <x:fgColor rgb="FBF8EF"/>
      </x:patternFill>
    </x:fill>
    <x:fill>
      <x:patternFill patternType="solid">
        <x:fgColor rgb="1D5443"/>
      </x:patternFill>
    </x:fill>
    <x:fill>
      <x:patternFill patternType="solid">
        <x:fgColor rgb="FFF4C7"/>
      </x:patternFill>
    </x:fill>
    <x:fill>
      <x:patternFill patternType="solid">
        <x:fgColor rgb="E7F4EA"/>
      </x:patternFill>
    </x:fill>
  </x:fills>
  <x:borders count="1">
    <x:border/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 applyAlignment="1">
      <x:alignment horizontal="center"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200" fontId="6" fillId="6" borderId="0" xfId="0" applyNumberFormat="1" applyFont="1" applyFill="1" applyBorder="1" applyAlignment="1">
      <x:alignment vertical="top" wrapText="1"/>
    </x:xf>
    <x:xf numFmtId="201" fontId="6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202" fontId="6" fillId="6" borderId="0" xfId="0" applyNumberFormat="1" applyFont="1" applyFill="1" applyBorder="1" applyAlignment="1">
      <x:alignment vertical="top" wrapText="1"/>
    </x:xf>
    <x:xf numFmtId="201" fontId="7" fillId="7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/>
    <x:xf numFmtId="201" fontId="7" fillId="7" borderId="0" xfId="0" applyNumberFormat="1" applyFont="1" applyFill="1" applyBorder="1" applyAlignment="1">
      <x:alignment horizontal="center" vertical="center" wrapText="1"/>
    </x:xf>
    <x:xf numFmtId="203" fontId="7" fillId="7" borderId="0" xfId="0" applyNumberFormat="1" applyFont="1" applyFill="1" applyBorder="1"/>
    <x:xf numFmtId="203" fontId="7" fillId="7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0" fontId="7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398328a449469a" /><Relationship Type="http://schemas.openxmlformats.org/officeDocument/2006/relationships/theme" Target="/xl/theme/theme1.xml" Id="Rac14c048de014860" /><Relationship Type="http://schemas.openxmlformats.org/officeDocument/2006/relationships/sharedStrings" Target="/xl/sharedStrings.xml" Id="R7eba2c8d7f014b27" /><Relationship Type="http://schemas.openxmlformats.org/officeDocument/2006/relationships/worksheet" Target="/xl/worksheets/sheet1.xml" Id="Rdcbf63b8351c4fcb" /><Relationship Type="http://schemas.openxmlformats.org/officeDocument/2006/relationships/worksheet" Target="/xl/worksheets/sheet2.xml" Id="Rb4df4b9ef32d4069" /><Relationship Type="http://schemas.openxmlformats.org/officeDocument/2006/relationships/worksheet" Target="/xl/worksheets/sheet3.xml" Id="Rb2ba2120dfd34c6e" /><Relationship Type="http://schemas.openxmlformats.org/officeDocument/2006/relationships/worksheet" Target="/xl/worksheets/sheet4.xml" Id="Rcddb5dbc729f4f34" /><Relationship Type="http://schemas.openxmlformats.org/officeDocument/2006/relationships/worksheet" Target="/xl/worksheets/sheet5.xml" Id="R48e26a39d98d459e" /><Relationship Type="http://schemas.openxmlformats.org/officeDocument/2006/relationships/worksheet" Target="/xl/worksheets/sheet6.xml" Id="R7d50d3001174437c" /><Relationship Type="http://schemas.openxmlformats.org/officeDocument/2006/relationships/worksheet" Target="/xl/worksheets/sheet7.xml" Id="Rb285efe16e2c483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88412d73cdc43f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Planned</c:v>
          </c:tx>
          <c:cat>
            <c:strRef>
              <c:f>'Dashboard'!$G$5:$G$7</c:f>
              <c:strCache>
                <c:ptCount val="0"/>
              </c:strCache>
            </c:strRef>
          </c:cat>
          <c:val>
            <c:numRef>
              <c:f>'Dashboard'!$H$5:$H$7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Actual</c:v>
          </c:tx>
          <c:cat>
            <c:strRef>
              <c:f>'Dashboard'!$G$5:$G$7</c:f>
              <c:strCache>
                <c:ptCount val="0"/>
              </c:strCache>
            </c:strRef>
          </c:cat>
          <c:val>
            <c:numRef>
              <c:f>'Dashboard'!$I$5:$I$7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8412d73cdc43f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98db55774de548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4399995803833" hidden="0" customWidth="1"/>
    <x:col min="2" max="2" width="31.6299991607666" hidden="0" customWidth="1"/>
    <x:col min="3" max="3" width="31.6299991607666" hidden="0" customWidth="1"/>
    <x:col min="4" max="4" width="28.940000534057617" hidden="0" customWidth="1"/>
    <x:col min="5" max="5" width="20.860000610351562" hidden="0" customWidth="1"/>
    <x:col min="6" max="6" width="20.860000610351562" hidden="0" customWidth="1"/>
    <x:col min="7" max="7" width="20.860000610351562" hidden="0" customWidth="1"/>
  </x:cols>
  <x:sheetData>
    <x:row r="1">
      <x:c r="A1" s="5" t="str">
        <x:v>Personal Budget System</x:v>
      </x:c>
      <x:c r="B1" s="5" t="str">
        <x:v>Personal Budget System</x:v>
      </x:c>
      <x:c r="C1" s="5" t="str">
        <x:v>Personal Budget System</x:v>
      </x:c>
      <x:c r="D1" s="5" t="str">
        <x:v>Personal Budget System</x:v>
      </x:c>
      <x:c r="E1" s="5" t="str">
        <x:v>Personal Budget System</x:v>
      </x:c>
      <x:c r="F1" s="5" t="str">
        <x:v>Personal Budget System</x:v>
      </x:c>
      <x:c r="G1" s="5" t="str">
        <x:v>Personal Budget System</x:v>
      </x:c>
    </x:row>
    <x:row r="2">
      <x:c r="A2" s="7" t="str">
        <x:v>Asmeninio biudžeto valdymo sistema su PDF gidu ir Excel modeliu.</x:v>
      </x:c>
      <x:c r="B2" s="7" t="str">
        <x:v>Asmeninio biudžeto valdymo sistema su PDF gidu ir Excel modeliu.</x:v>
      </x:c>
      <x:c r="C2" s="7" t="str">
        <x:v>Asmeninio biudžeto valdymo sistema su PDF gidu ir Excel modeliu.</x:v>
      </x:c>
      <x:c r="D2" s="7" t="str">
        <x:v>Asmeninio biudžeto valdymo sistema su PDF gidu ir Excel modeliu.</x:v>
      </x:c>
      <x:c r="E2" s="7" t="str">
        <x:v>Asmeninio biudžeto valdymo sistema su PDF gidu ir Excel modeliu.</x:v>
      </x:c>
      <x:c r="F2" s="7" t="str">
        <x:v>Asmeninio biudžeto valdymo sistema su PDF gidu ir Excel modeliu.</x:v>
      </x:c>
      <x:c r="G2" s="7" t="str">
        <x:v>Asmeninio biudžeto valdymo sistema su PDF gidu ir Excel modeliu.</x:v>
      </x:c>
    </x:row>
    <x:row r="4">
      <x:c r="A4" s="8" t="str">
        <x:v>Kaip pradėti</x:v>
      </x:c>
    </x:row>
    <x:row r="6">
      <x:c r="A6" s="14" t="str">
        <x:v>1</x:v>
      </x:c>
      <x:c r="B6" s="11" t="str">
        <x:v>Įveskite savo mėnesį, valiutą ir taupymo tikslą Inputs lape.</x:v>
      </x:c>
      <x:c r="D6" s="18" t="str">
        <x:v>Svarbu</x:v>
      </x:c>
      <x:c r="E6" s="16" t="str"/>
      <x:c r="F6" s="16" t="str"/>
      <x:c r="G6" s="16" t="str"/>
    </x:row>
    <x:row r="7">
      <x:c r="A7" s="14" t="str">
        <x:v>2</x:v>
      </x:c>
      <x:c r="B7" s="11" t="str">
        <x:v>Income lape pakeiskite pavyzdines pajamas savais skaičiais.</x:v>
      </x:c>
      <x:c r="D7" s="16" t="str">
        <x:v>Įvesties langeliai pažymėti švelnia geltona spalva.</x:v>
      </x:c>
      <x:c r="E7" s="16" t="str"/>
      <x:c r="F7" s="16" t="str"/>
      <x:c r="G7" s="16" t="str"/>
    </x:row>
    <x:row r="8">
      <x:c r="A8" s="14" t="str">
        <x:v>3</x:v>
      </x:c>
      <x:c r="B8" s="11" t="str">
        <x:v>Expenses lape suveskite planuotas ir realias išlaidas pagal kategorijas.</x:v>
      </x:c>
      <x:c r="D8" s="16" t="str">
        <x:v>Formulių ir rezultatų langeliai pažymėti žalia spalva.</x:v>
      </x:c>
      <x:c r="E8" s="16" t="str"/>
      <x:c r="F8" s="16" t="str"/>
      <x:c r="G8" s="16" t="str"/>
    </x:row>
    <x:row r="9">
      <x:c r="A9" s="14" t="str">
        <x:v>4</x:v>
      </x:c>
      <x:c r="B9" s="11" t="str">
        <x:v>Savings Goals lape įveskite tikslus ir jau sukauptas sumas.</x:v>
      </x:c>
      <x:c r="D9" s="16" t="str">
        <x:v>Neredaguokite formulių, jei norite išlaikyti automatinį dashboard.</x:v>
      </x:c>
      <x:c r="E9" s="16" t="str"/>
      <x:c r="F9" s="16" t="str"/>
      <x:c r="G9" s="16" t="str"/>
    </x:row>
    <x:row r="10">
      <x:c r="A10" s="14" t="str">
        <x:v>5</x:v>
      </x:c>
      <x:c r="B10" s="11" t="str">
        <x:v>Monthly Review lape užrašykite įžvalgas ir kitus veiksmus.</x:v>
      </x:c>
      <x:c r="D10" s="16" t="str">
        <x:v>Failą atnaujinkite kiekvieną mėnesį arba susikurkite kopiją naujam mėnesiui.</x:v>
      </x:c>
      <x:c r="E10" s="16" t="str"/>
      <x:c r="F10" s="16" t="str"/>
      <x:c r="G10" s="16" t="str"/>
    </x:row>
    <x:row r="11">
      <x:c r="A11" s="14" t="str">
        <x:v>6</x:v>
      </x:c>
      <x:c r="B11" s="11" t="str">
        <x:v>Dashboard lape matysite automatinius rezultatus ir rekomendaciją.</x:v>
      </x:c>
    </x:row>
  </x:sheetData>
  <x:mergeCells>
    <x:mergeCell ref="A1:G1"/>
    <x:mergeCell ref="A2:G2"/>
    <x:mergeCell ref="A4:G4"/>
    <x:mergeCell ref="D6:G6"/>
    <x:mergeCell ref="D7:G7"/>
    <x:mergeCell ref="D8:G8"/>
    <x:mergeCell ref="D9:G9"/>
    <x:mergeCell ref="D10:G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9000015258789" hidden="0" customWidth="1"/>
    <x:col min="2" max="2" width="28.940000534057617" hidden="0" customWidth="1"/>
    <x:col min="3" max="3" width="55.849998474121094" hidden="0" customWidth="1"/>
    <x:col min="4" max="4" width="18.170000076293945" hidden="0" customWidth="1"/>
    <x:col min="5" max="5" width="18.170000076293945" hidden="0" customWidth="1"/>
  </x:cols>
  <x:sheetData>
    <x:row r="1">
      <x:c r="A1" s="5" t="str">
        <x:v>Inputs</x:v>
      </x:c>
      <x:c r="B1" s="5" t="str">
        <x:v>Inputs</x:v>
      </x:c>
      <x:c r="C1" s="5" t="str">
        <x:v>Inputs</x:v>
      </x:c>
      <x:c r="D1" s="5" t="str">
        <x:v>Inputs</x:v>
      </x:c>
      <x:c r="E1" s="5" t="str">
        <x:v>Inputs</x:v>
      </x:c>
    </x:row>
    <x:row r="2">
      <x:c r="A2" s="7" t="str">
        <x:v>Pagrindiniai mėnesio nustatymai ir pastabos.</x:v>
      </x:c>
      <x:c r="B2" s="7" t="str">
        <x:v>Pagrindiniai mėnesio nustatymai ir pastabos.</x:v>
      </x:c>
      <x:c r="C2" s="7" t="str">
        <x:v>Pagrindiniai mėnesio nustatymai ir pastabos.</x:v>
      </x:c>
      <x:c r="D2" s="7" t="str">
        <x:v>Pagrindiniai mėnesio nustatymai ir pastabos.</x:v>
      </x:c>
      <x:c r="E2" s="7" t="str">
        <x:v>Pagrindiniai mėnesio nustatymai ir pastabos.</x:v>
      </x:c>
      <x:c r="F2" s="7" t="str">
        <x:v>Pagrindiniai mėnesio nustatymai ir pastabos.</x:v>
      </x:c>
      <x:c r="G2" s="7" t="str">
        <x:v>Pagrindiniai mėnesio nustatymai ir pastabos.</x:v>
      </x:c>
    </x:row>
    <x:row r="4">
      <x:c r="A4" s="24" t="str">
        <x:v>Laukas</x:v>
      </x:c>
      <x:c r="B4" s="24" t="str">
        <x:v>Įvestis</x:v>
      </x:c>
      <x:c r="C4" s="24" t="str">
        <x:v>Pastaba</x:v>
      </x:c>
    </x:row>
    <x:row r="5">
      <x:c r="A5" s="11" t="str">
        <x:v>Mėnuo</x:v>
      </x:c>
      <x:c r="B5" s="26" t="str">
        <x:v>2026 gegužė</x:v>
      </x:c>
      <x:c r="C5" s="11" t="str">
        <x:v>Įrašykite mėnesį, kuriam pildomas biudžetas.</x:v>
      </x:c>
    </x:row>
    <x:row r="6">
      <x:c r="A6" s="11" t="str">
        <x:v>Valiuta</x:v>
      </x:c>
      <x:c r="B6" s="26" t="str">
        <x:v>€</x:v>
      </x:c>
      <x:c r="C6" s="11" t="str">
        <x:v>Naudojama visame modelyje.</x:v>
      </x:c>
    </x:row>
    <x:row r="7">
      <x:c r="A7" s="11" t="str">
        <x:v>Taupymo tikslas %</x:v>
      </x:c>
      <x:c r="B7" s="27" t="n">
        <x:v>0.2</x:v>
      </x:c>
      <x:c r="C7" s="11" t="str">
        <x:v>Pageidaujama mėnesio taupymo norma.</x:v>
      </x:c>
    </x:row>
    <x:row r="8">
      <x:c r="A8" s="11" t="str">
        <x:v>Emergency fund goal</x:v>
      </x:c>
      <x:c r="B8" s="28" t="n">
        <x:v>3000</x:v>
      </x:c>
      <x:c r="C8" s="11" t="str">
        <x:v>Tikslinė saugumo rezervo suma.</x:v>
      </x:c>
    </x:row>
    <x:row r="9">
      <x:c r="A9" s="11" t="str">
        <x:v>Mėnesio pastabos</x:v>
      </x:c>
      <x:c r="B9" s="26" t="str">
        <x:v>Pavyzdinis mėnuo su nuoma, maistu, transportu ir taupymu.</x:v>
      </x:c>
      <x:c r="C9" s="11" t="str">
        <x:v>Trumpas kontekstas peržiūrai.</x:v>
      </x:c>
    </x:row>
  </x:sheetData>
  <x:mergeCells>
    <x:mergeCell ref="A1:E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130000114440918" hidden="0" customWidth="1"/>
    <x:col min="2" max="2" width="26.239999771118164" hidden="0" customWidth="1"/>
    <x:col min="3" max="3" width="20.860000610351562" hidden="0" customWidth="1"/>
    <x:col min="4" max="4" width="19.520000457763672" hidden="0" customWidth="1"/>
    <x:col min="5" max="5" width="19.520000457763672" hidden="0" customWidth="1"/>
    <x:col min="6" max="6" width="16.81999969482422" hidden="0" customWidth="1"/>
    <x:col min="7" max="7" width="34.31999969482422" hidden="0" customWidth="1"/>
    <x:col min="8" max="8" width="3.359999895095825" hidden="0" customWidth="1"/>
    <x:col min="9" max="9" width="22.209999084472656" hidden="0" customWidth="1"/>
    <x:col min="10" max="10" width="19.520000457763672" hidden="0" customWidth="1"/>
  </x:cols>
  <x:sheetData>
    <x:row r="1">
      <x:c r="A1" s="5" t="str">
        <x:v>Income</x:v>
      </x:c>
      <x:c r="B1" s="5" t="str">
        <x:v>Income</x:v>
      </x:c>
      <x:c r="C1" s="5" t="str">
        <x:v>Income</x:v>
      </x:c>
      <x:c r="D1" s="5" t="str">
        <x:v>Income</x:v>
      </x:c>
      <x:c r="E1" s="5" t="str">
        <x:v>Income</x:v>
      </x:c>
      <x:c r="F1" s="5" t="str">
        <x:v>Income</x:v>
      </x:c>
      <x:c r="G1" s="5" t="str">
        <x:v>Income</x:v>
      </x:c>
    </x:row>
    <x:row r="2">
      <x:c r="A2" s="7" t="str">
        <x:v>Planuotos ir realios mėnesio pajamos.</x:v>
      </x:c>
      <x:c r="B2" s="7" t="str">
        <x:v>Planuotos ir realios mėnesio pajamos.</x:v>
      </x:c>
      <x:c r="C2" s="7" t="str">
        <x:v>Planuotos ir realios mėnesio pajamos.</x:v>
      </x:c>
      <x:c r="D2" s="7" t="str">
        <x:v>Planuotos ir realios mėnesio pajamos.</x:v>
      </x:c>
      <x:c r="E2" s="7" t="str">
        <x:v>Planuotos ir realios mėnesio pajamos.</x:v>
      </x:c>
      <x:c r="F2" s="7" t="str">
        <x:v>Planuotos ir realios mėnesio pajamos.</x:v>
      </x:c>
      <x:c r="G2" s="7" t="str">
        <x:v>Planuotos ir realios mėnesio pajamos.</x:v>
      </x:c>
    </x:row>
    <x:row r="5">
      <x:c r="A5" s="24" t="str">
        <x:v>Date</x:v>
      </x:c>
      <x:c r="B5" s="24" t="str">
        <x:v>Income Source</x:v>
      </x:c>
      <x:c r="C5" s="24" t="str">
        <x:v>Category</x:v>
      </x:c>
      <x:c r="D5" s="24" t="str">
        <x:v>Planned Income</x:v>
      </x:c>
      <x:c r="E5" s="24" t="str">
        <x:v>Actual Income</x:v>
      </x:c>
      <x:c r="F5" s="24" t="str">
        <x:v>Difference</x:v>
      </x:c>
      <x:c r="G5" s="24" t="str">
        <x:v>Notes</x:v>
      </x:c>
    </x:row>
    <x:row r="6">
      <x:c r="A6" s="31" t="n">
        <x:v>46143</x:v>
      </x:c>
      <x:c r="B6" s="26" t="str">
        <x:v>Pagrindinis atlyginimas</x:v>
      </x:c>
      <x:c r="C6" s="26" t="str">
        <x:v>Salary</x:v>
      </x:c>
      <x:c r="D6" s="28" t="n">
        <x:v>2400</x:v>
      </x:c>
      <x:c r="E6" s="28" t="n">
        <x:v>2400</x:v>
      </x:c>
      <x:c r="F6" s="32" t="n">
        <x:f>E6-D6</x:f>
        <x:v>0</x:v>
      </x:c>
      <x:c r="G6" s="26" t="str">
        <x:v>Reguliarios pajamos</x:v>
      </x:c>
    </x:row>
    <x:row r="7">
      <x:c r="A7" s="31" t="n">
        <x:v>46147</x:v>
      </x:c>
      <x:c r="B7" s="26" t="str">
        <x:v>Freelance projektas</x:v>
      </x:c>
      <x:c r="C7" s="26" t="str">
        <x:v>Freelance</x:v>
      </x:c>
      <x:c r="D7" s="28" t="n">
        <x:v>350</x:v>
      </x:c>
      <x:c r="E7" s="28" t="n">
        <x:v>420</x:v>
      </x:c>
      <x:c r="F7" s="32" t="n">
        <x:f>E7-D7</x:f>
        <x:v>70</x:v>
      </x:c>
      <x:c r="G7" s="26" t="str">
        <x:v>Papildomas darbas</x:v>
      </x:c>
    </x:row>
    <x:row r="8">
      <x:c r="A8" s="31" t="n">
        <x:v>46154</x:v>
      </x:c>
      <x:c r="B8" s="26" t="str">
        <x:v>Skaitmeninis produktas</x:v>
      </x:c>
      <x:c r="C8" s="26" t="str">
        <x:v>Side income</x:v>
      </x:c>
      <x:c r="D8" s="28" t="n">
        <x:v>120</x:v>
      </x:c>
      <x:c r="E8" s="28" t="n">
        <x:v>160</x:v>
      </x:c>
      <x:c r="F8" s="32" t="n">
        <x:f>E8-D8</x:f>
        <x:v>40</x:v>
      </x:c>
      <x:c r="G8" s="26" t="str">
        <x:v>Papildomos pajamos</x:v>
      </x:c>
    </x:row>
    <x:row r="9">
      <x:c r="A9" s="31" t="n">
        <x:v>46162</x:v>
      </x:c>
      <x:c r="B9" s="26" t="str">
        <x:v>Grąžinimas</x:v>
      </x:c>
      <x:c r="C9" s="26" t="str">
        <x:v>Other</x:v>
      </x:c>
      <x:c r="D9" s="28" t="n">
        <x:v>50</x:v>
      </x:c>
      <x:c r="E9" s="28" t="n">
        <x:v>35</x:v>
      </x:c>
      <x:c r="F9" s="32" t="n">
        <x:f>E9-D9</x:f>
        <x:v>-15</x:v>
      </x:c>
      <x:c r="G9" s="26" t="str">
        <x:v>Vienkartinė suma</x:v>
      </x:c>
    </x:row>
    <x:row r="10">
      <x:c r="A10" s="31"/>
      <x:c r="B10" s="26" t="str"/>
      <x:c r="C10" s="26" t="str"/>
      <x:c r="D10" s="28" t="n">
        <x:v>0</x:v>
      </x:c>
      <x:c r="E10" s="28" t="n">
        <x:v>0</x:v>
      </x:c>
      <x:c r="F10" s="32" t="n">
        <x:f>E10-D10</x:f>
        <x:v>0</x:v>
      </x:c>
      <x:c r="G10" s="26" t="str"/>
    </x:row>
    <x:row r="11">
      <x:c r="A11" s="31"/>
      <x:c r="B11" s="26" t="str"/>
      <x:c r="C11" s="26" t="str"/>
      <x:c r="D11" s="28" t="n">
        <x:v>0</x:v>
      </x:c>
      <x:c r="E11" s="28" t="n">
        <x:v>0</x:v>
      </x:c>
      <x:c r="F11" s="32" t="n">
        <x:f>E11-D11</x:f>
        <x:v>0</x:v>
      </x:c>
      <x:c r="G11" s="26" t="str"/>
    </x:row>
    <x:row r="12">
      <x:c r="A12" s="31"/>
      <x:c r="B12" s="26" t="str"/>
      <x:c r="C12" s="26" t="str"/>
      <x:c r="D12" s="28" t="n">
        <x:v>0</x:v>
      </x:c>
      <x:c r="E12" s="28" t="n">
        <x:v>0</x:v>
      </x:c>
      <x:c r="F12" s="32" t="n">
        <x:f>E12-D12</x:f>
        <x:v>0</x:v>
      </x:c>
      <x:c r="G12" s="26" t="str"/>
    </x:row>
    <x:row r="13">
      <x:c r="A13" s="31"/>
      <x:c r="B13" s="26" t="str"/>
      <x:c r="C13" s="26" t="str"/>
      <x:c r="D13" s="28" t="n">
        <x:v>0</x:v>
      </x:c>
      <x:c r="E13" s="28" t="n">
        <x:v>0</x:v>
      </x:c>
      <x:c r="F13" s="32" t="n">
        <x:f>E13-D13</x:f>
        <x:v>0</x:v>
      </x:c>
      <x:c r="G13" s="26" t="str"/>
    </x:row>
    <x:row r="14">
      <x:c r="A14" s="31"/>
      <x:c r="B14" s="26" t="str"/>
      <x:c r="C14" s="26" t="str"/>
      <x:c r="D14" s="28" t="n">
        <x:v>0</x:v>
      </x:c>
      <x:c r="E14" s="28" t="n">
        <x:v>0</x:v>
      </x:c>
      <x:c r="F14" s="32" t="n">
        <x:f>E14-D14</x:f>
        <x:v>0</x:v>
      </x:c>
      <x:c r="G14" s="26" t="str"/>
    </x:row>
    <x:row r="15">
      <x:c r="A15" s="31"/>
      <x:c r="B15" s="26" t="str"/>
      <x:c r="C15" s="26" t="str"/>
      <x:c r="D15" s="28" t="n">
        <x:v>0</x:v>
      </x:c>
      <x:c r="E15" s="28" t="n">
        <x:v>0</x:v>
      </x:c>
      <x:c r="F15" s="32" t="n">
        <x:f>E15-D15</x:f>
        <x:v>0</x:v>
      </x:c>
      <x:c r="G15" s="26" t="str"/>
    </x:row>
    <x:row r="18">
      <x:c r="A18" s="23" t="str">
        <x:v>Summary</x:v>
      </x:c>
      <x:c r="B18" s="23" t="str"/>
      <x:c r="C18" s="23" t="str"/>
      <x:c r="D18" s="37" t="n">
        <x:f>SUM(D6:D15)</x:f>
        <x:v>2920</x:v>
      </x:c>
      <x:c r="E18" s="37" t="n">
        <x:f>SUM(E6:E15)</x:f>
        <x:v>3015</x:v>
      </x:c>
      <x:c r="F18" s="37" t="n">
        <x:f>E18-D18</x:f>
        <x:v>95</x:v>
      </x:c>
    </x:row>
    <x:row r="19">
      <x:c r="A19" t="str">
        <x:v>Income variance %</x:v>
      </x:c>
      <x:c r="B19" t="str"/>
      <x:c r="C19" t="str"/>
      <x:c r="D19" s="36" t="str"/>
      <x:c r="E19" s="36" t="str"/>
      <x:c r="F19" s="38" t="n">
        <x:f>IFERROR(F18/D18,0)</x:f>
        <x:v>0.032534246575342464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130000114440918" hidden="0" customWidth="1"/>
    <x:col min="2" max="2" width="22.209999084472656" hidden="0" customWidth="1"/>
    <x:col min="3" max="3" width="28.940000534057617" hidden="0" customWidth="1"/>
    <x:col min="4" max="4" width="19.520000457763672" hidden="0" customWidth="1"/>
    <x:col min="5" max="5" width="19.520000457763672" hidden="0" customWidth="1"/>
    <x:col min="6" max="6" width="16.81999969482422" hidden="0" customWidth="1"/>
    <x:col min="7" max="7" width="19.520000457763672" hidden="0" customWidth="1"/>
    <x:col min="8" max="8" width="31.6299991607666" hidden="0" customWidth="1"/>
    <x:col min="9" max="9" width="3.359999895095825" hidden="0" customWidth="1"/>
    <x:col min="10" max="10" width="23.549999237060547" hidden="0" customWidth="1"/>
    <x:col min="11" max="11" width="19.520000457763672" hidden="0" customWidth="1"/>
  </x:cols>
  <x:sheetData>
    <x:row r="1">
      <x:c r="A1" s="5" t="str">
        <x:v>Expenses</x:v>
      </x:c>
      <x:c r="B1" s="5" t="str">
        <x:v>Expenses</x:v>
      </x:c>
      <x:c r="C1" s="5" t="str">
        <x:v>Expenses</x:v>
      </x:c>
      <x:c r="D1" s="5" t="str">
        <x:v>Expenses</x:v>
      </x:c>
      <x:c r="E1" s="5" t="str">
        <x:v>Expenses</x:v>
      </x:c>
      <x:c r="F1" s="5" t="str">
        <x:v>Expenses</x:v>
      </x:c>
      <x:c r="G1" s="5" t="str">
        <x:v>Expenses</x:v>
      </x:c>
      <x:c r="H1" s="5" t="str">
        <x:v>Expenses</x:v>
      </x:c>
    </x:row>
    <x:row r="2">
      <x:c r="A2" s="7" t="str">
        <x:v>Planuotos ir realios išlaidos pagal kategorijas.</x:v>
      </x:c>
      <x:c r="B2" s="7" t="str">
        <x:v>Planuotos ir realios išlaidos pagal kategorijas.</x:v>
      </x:c>
      <x:c r="C2" s="7" t="str">
        <x:v>Planuotos ir realios išlaidos pagal kategorijas.</x:v>
      </x:c>
      <x:c r="D2" s="7" t="str">
        <x:v>Planuotos ir realios išlaidos pagal kategorijas.</x:v>
      </x:c>
      <x:c r="E2" s="7" t="str">
        <x:v>Planuotos ir realios išlaidos pagal kategorijas.</x:v>
      </x:c>
      <x:c r="F2" s="7" t="str">
        <x:v>Planuotos ir realios išlaidos pagal kategorijas.</x:v>
      </x:c>
      <x:c r="G2" s="7" t="str">
        <x:v>Planuotos ir realios išlaidos pagal kategorijas.</x:v>
      </x:c>
    </x:row>
    <x:row r="5">
      <x:c r="A5" s="24" t="str">
        <x:v>Date</x:v>
      </x:c>
      <x:c r="B5" s="24" t="str">
        <x:v>Expense Category</x:v>
      </x:c>
      <x:c r="C5" s="24" t="str">
        <x:v>Description</x:v>
      </x:c>
      <x:c r="D5" s="24" t="str">
        <x:v>Planned Expense</x:v>
      </x:c>
      <x:c r="E5" s="24" t="str">
        <x:v>Actual Expense</x:v>
      </x:c>
      <x:c r="F5" s="24" t="str">
        <x:v>Difference</x:v>
      </x:c>
      <x:c r="G5" s="24" t="str">
        <x:v>Essential / Optional</x:v>
      </x:c>
      <x:c r="H5" s="24" t="str">
        <x:v>Notes</x:v>
      </x:c>
      <x:c r="J5" s="24" t="str">
        <x:v>Category</x:v>
      </x:c>
      <x:c r="K5" s="24" t="str">
        <x:v>Actual Total</x:v>
      </x:c>
    </x:row>
    <x:row r="6">
      <x:c r="A6" s="31" t="n">
        <x:v>46144</x:v>
      </x:c>
      <x:c r="B6" s="26" t="str">
        <x:v>Housing</x:v>
      </x:c>
      <x:c r="C6" s="26" t="str">
        <x:v>Nuoma</x:v>
      </x:c>
      <x:c r="D6" s="28" t="n">
        <x:v>850</x:v>
      </x:c>
      <x:c r="E6" s="28" t="n">
        <x:v>850</x:v>
      </x:c>
      <x:c r="F6" s="32" t="n">
        <x:f>D6-E6</x:f>
        <x:v>0</x:v>
      </x:c>
      <x:c r="G6" s="26" t="str">
        <x:v>Essential</x:v>
      </x:c>
      <x:c r="H6" s="26" t="str">
        <x:v>Pastovi išlaida</x:v>
      </x:c>
      <x:c r="J6" s="11" t="str">
        <x:v>Housing</x:v>
      </x:c>
      <x:c r="K6" s="32" t="n">
        <x:f>SUMIF($B$6:$B$25,J6,$E$6:$E$25)</x:f>
        <x:v>850</x:v>
      </x:c>
    </x:row>
    <x:row r="7">
      <x:c r="A7" s="31" t="n">
        <x:v>46145</x:v>
      </x:c>
      <x:c r="B7" s="26" t="str">
        <x:v>Food</x:v>
      </x:c>
      <x:c r="C7" s="26" t="str">
        <x:v>Maisto produktai</x:v>
      </x:c>
      <x:c r="D7" s="28" t="n">
        <x:v>420</x:v>
      </x:c>
      <x:c r="E7" s="28" t="n">
        <x:v>455</x:v>
      </x:c>
      <x:c r="F7" s="32" t="n">
        <x:f>D7-E7</x:f>
        <x:v>-35</x:v>
      </x:c>
      <x:c r="G7" s="26" t="str">
        <x:v>Essential</x:v>
      </x:c>
      <x:c r="H7" s="26" t="str">
        <x:v>Šiek tiek virš plano</x:v>
      </x:c>
      <x:c r="J7" s="11" t="str">
        <x:v>Food</x:v>
      </x:c>
      <x:c r="K7" s="32" t="n">
        <x:f>SUMIF($B$6:$B$25,J7,$E$6:$E$25)</x:f>
        <x:v>455</x:v>
      </x:c>
    </x:row>
    <x:row r="8">
      <x:c r="A8" s="31" t="n">
        <x:v>46146</x:v>
      </x:c>
      <x:c r="B8" s="26" t="str">
        <x:v>Transport</x:v>
      </x:c>
      <x:c r="C8" s="26" t="str">
        <x:v>Kuras ir viešasis transportas</x:v>
      </x:c>
      <x:c r="D8" s="28" t="n">
        <x:v>120</x:v>
      </x:c>
      <x:c r="E8" s="28" t="n">
        <x:v>110</x:v>
      </x:c>
      <x:c r="F8" s="32" t="n">
        <x:f>D8-E8</x:f>
        <x:v>10</x:v>
      </x:c>
      <x:c r="G8" s="26" t="str">
        <x:v>Essential</x:v>
      </x:c>
      <x:c r="H8" s="26" t="str"/>
      <x:c r="J8" s="11" t="str">
        <x:v>Transport</x:v>
      </x:c>
      <x:c r="K8" s="32" t="n">
        <x:f>SUMIF($B$6:$B$25,J8,$E$6:$E$25)</x:f>
        <x:v>110</x:v>
      </x:c>
    </x:row>
    <x:row r="9">
      <x:c r="A9" s="31" t="n">
        <x:v>46147</x:v>
      </x:c>
      <x:c r="B9" s="26" t="str">
        <x:v>Utilities</x:v>
      </x:c>
      <x:c r="C9" s="26" t="str">
        <x:v>Elektra, vanduo, internetas</x:v>
      </x:c>
      <x:c r="D9" s="28" t="n">
        <x:v>160</x:v>
      </x:c>
      <x:c r="E9" s="28" t="n">
        <x:v>148</x:v>
      </x:c>
      <x:c r="F9" s="32" t="n">
        <x:f>D9-E9</x:f>
        <x:v>12</x:v>
      </x:c>
      <x:c r="G9" s="26" t="str">
        <x:v>Essential</x:v>
      </x:c>
      <x:c r="H9" s="26" t="str"/>
      <x:c r="J9" s="11" t="str">
        <x:v>Utilities</x:v>
      </x:c>
      <x:c r="K9" s="32" t="n">
        <x:f>SUMIF($B$6:$B$25,J9,$E$6:$E$25)</x:f>
        <x:v>148</x:v>
      </x:c>
    </x:row>
    <x:row r="10">
      <x:c r="A10" s="31" t="n">
        <x:v>46148</x:v>
      </x:c>
      <x:c r="B10" s="26" t="str">
        <x:v>Subscriptions</x:v>
      </x:c>
      <x:c r="C10" s="26" t="str">
        <x:v>Programėlės ir narystės</x:v>
      </x:c>
      <x:c r="D10" s="28" t="n">
        <x:v>55</x:v>
      </x:c>
      <x:c r="E10" s="28" t="n">
        <x:v>68</x:v>
      </x:c>
      <x:c r="F10" s="32" t="n">
        <x:f>D10-E10</x:f>
        <x:v>-13</x:v>
      </x:c>
      <x:c r="G10" s="26" t="str">
        <x:v>Optional</x:v>
      </x:c>
      <x:c r="H10" s="26" t="str">
        <x:v>Patikrinti prenumeratas</x:v>
      </x:c>
      <x:c r="J10" s="11" t="str">
        <x:v>Subscriptions</x:v>
      </x:c>
      <x:c r="K10" s="32" t="n">
        <x:f>SUMIF($B$6:$B$25,J10,$E$6:$E$25)</x:f>
        <x:v>68</x:v>
      </x:c>
    </x:row>
    <x:row r="11">
      <x:c r="A11" s="31" t="n">
        <x:v>46152</x:v>
      </x:c>
      <x:c r="B11" s="26" t="str">
        <x:v>Health</x:v>
      </x:c>
      <x:c r="C11" s="26" t="str">
        <x:v>Vaistinė</x:v>
      </x:c>
      <x:c r="D11" s="28" t="n">
        <x:v>70</x:v>
      </x:c>
      <x:c r="E11" s="28" t="n">
        <x:v>45</x:v>
      </x:c>
      <x:c r="F11" s="32" t="n">
        <x:f>D11-E11</x:f>
        <x:v>25</x:v>
      </x:c>
      <x:c r="G11" s="26" t="str">
        <x:v>Essential</x:v>
      </x:c>
      <x:c r="H11" s="26" t="str"/>
      <x:c r="J11" s="11" t="str">
        <x:v>Health</x:v>
      </x:c>
      <x:c r="K11" s="32" t="n">
        <x:f>SUMIF($B$6:$B$25,J11,$E$6:$E$25)</x:f>
        <x:v>45</x:v>
      </x:c>
    </x:row>
    <x:row r="12">
      <x:c r="A12" s="31" t="n">
        <x:v>46154</x:v>
      </x:c>
      <x:c r="B12" s="26" t="str">
        <x:v>Education</x:v>
      </x:c>
      <x:c r="C12" s="26" t="str">
        <x:v>Kursas</x:v>
      </x:c>
      <x:c r="D12" s="28" t="n">
        <x:v>90</x:v>
      </x:c>
      <x:c r="E12" s="28" t="n">
        <x:v>90</x:v>
      </x:c>
      <x:c r="F12" s="32" t="n">
        <x:f>D12-E12</x:f>
        <x:v>0</x:v>
      </x:c>
      <x:c r="G12" s="26" t="str">
        <x:v>Optional</x:v>
      </x:c>
      <x:c r="H12" s="26" t="str"/>
      <x:c r="J12" s="11" t="str">
        <x:v>Education</x:v>
      </x:c>
      <x:c r="K12" s="32" t="n">
        <x:f>SUMIF($B$6:$B$25,J12,$E$6:$E$25)</x:f>
        <x:v>90</x:v>
      </x:c>
    </x:row>
    <x:row r="13">
      <x:c r="A13" s="31" t="n">
        <x:v>46156</x:v>
      </x:c>
      <x:c r="B13" s="26" t="str">
        <x:v>Entertainment</x:v>
      </x:c>
      <x:c r="C13" s="26" t="str">
        <x:v>Kinas ir kavinės</x:v>
      </x:c>
      <x:c r="D13" s="28" t="n">
        <x:v>130</x:v>
      </x:c>
      <x:c r="E13" s="28" t="n">
        <x:v>165</x:v>
      </x:c>
      <x:c r="F13" s="32" t="n">
        <x:f>D13-E13</x:f>
        <x:v>-35</x:v>
      </x:c>
      <x:c r="G13" s="26" t="str">
        <x:v>Optional</x:v>
      </x:c>
      <x:c r="H13" s="26" t="str">
        <x:v>Lengva sumažinti</x:v>
      </x:c>
      <x:c r="J13" s="11" t="str">
        <x:v>Entertainment</x:v>
      </x:c>
      <x:c r="K13" s="32" t="n">
        <x:f>SUMIF($B$6:$B$25,J13,$E$6:$E$25)</x:f>
        <x:v>165</x:v>
      </x:c>
    </x:row>
    <x:row r="14">
      <x:c r="A14" s="31" t="n">
        <x:v>46160</x:v>
      </x:c>
      <x:c r="B14" s="26" t="str">
        <x:v>Shopping</x:v>
      </x:c>
      <x:c r="C14" s="26" t="str">
        <x:v>Drabužiai</x:v>
      </x:c>
      <x:c r="D14" s="28" t="n">
        <x:v>150</x:v>
      </x:c>
      <x:c r="E14" s="28" t="n">
        <x:v>210</x:v>
      </x:c>
      <x:c r="F14" s="32" t="n">
        <x:f>D14-E14</x:f>
        <x:v>-60</x:v>
      </x:c>
      <x:c r="G14" s="26" t="str">
        <x:v>Optional</x:v>
      </x:c>
      <x:c r="H14" s="26" t="str">
        <x:v>Didžiausias nukrypimas</x:v>
      </x:c>
      <x:c r="J14" s="11" t="str">
        <x:v>Shopping</x:v>
      </x:c>
      <x:c r="K14" s="32" t="n">
        <x:f>SUMIF($B$6:$B$25,J14,$E$6:$E$25)</x:f>
        <x:v>210</x:v>
      </x:c>
    </x:row>
    <x:row r="15">
      <x:c r="A15" s="31" t="n">
        <x:v>46164</x:v>
      </x:c>
      <x:c r="B15" s="26" t="str">
        <x:v>Other</x:v>
      </x:c>
      <x:c r="C15" s="26" t="str">
        <x:v>Dovanos</x:v>
      </x:c>
      <x:c r="D15" s="28" t="n">
        <x:v>80</x:v>
      </x:c>
      <x:c r="E15" s="28" t="n">
        <x:v>70</x:v>
      </x:c>
      <x:c r="F15" s="32" t="n">
        <x:f>D15-E15</x:f>
        <x:v>10</x:v>
      </x:c>
      <x:c r="G15" s="26" t="str">
        <x:v>Optional</x:v>
      </x:c>
      <x:c r="H15" s="26" t="str"/>
      <x:c r="J15" s="11" t="str">
        <x:v>Other</x:v>
      </x:c>
      <x:c r="K15" s="32" t="n">
        <x:f>SUMIF($B$6:$B$25,J15,$E$6:$E$25)</x:f>
        <x:v>70</x:v>
      </x:c>
    </x:row>
    <x:row r="16">
      <x:c r="A16" s="31"/>
      <x:c r="B16" s="26" t="str">
        <x:v>Housing</x:v>
      </x:c>
      <x:c r="C16" s="26" t="str"/>
      <x:c r="D16" s="28" t="n">
        <x:v>0</x:v>
      </x:c>
      <x:c r="E16" s="28" t="n">
        <x:v>0</x:v>
      </x:c>
      <x:c r="F16" s="32" t="n">
        <x:f>D16-E16</x:f>
        <x:v>0</x:v>
      </x:c>
      <x:c r="G16" s="26" t="str">
        <x:v>Essential</x:v>
      </x:c>
      <x:c r="H16" s="26" t="str"/>
      <x:c r="J16" s="11"/>
      <x:c r="K16" s="32"/>
    </x:row>
    <x:row r="17">
      <x:c r="A17" s="31"/>
      <x:c r="B17" s="26" t="str">
        <x:v>Food</x:v>
      </x:c>
      <x:c r="C17" s="26" t="str"/>
      <x:c r="D17" s="28" t="n">
        <x:v>0</x:v>
      </x:c>
      <x:c r="E17" s="28" t="n">
        <x:v>0</x:v>
      </x:c>
      <x:c r="F17" s="32" t="n">
        <x:f>D17-E17</x:f>
        <x:v>0</x:v>
      </x:c>
      <x:c r="G17" s="26" t="str">
        <x:v>Essential</x:v>
      </x:c>
      <x:c r="H17" s="26" t="str"/>
      <x:c r="J17" s="11" t="str">
        <x:v>Optional spending total</x:v>
      </x:c>
      <x:c r="K17" s="32" t="n">
        <x:f>SUMIF($G$6:$G$25,"Optional",$E$6:$E$25)</x:f>
        <x:v>603</x:v>
      </x:c>
    </x:row>
    <x:row r="18">
      <x:c r="A18" s="31"/>
      <x:c r="B18" s="26" t="str">
        <x:v>Transport</x:v>
      </x:c>
      <x:c r="C18" s="26" t="str"/>
      <x:c r="D18" s="28" t="n">
        <x:v>0</x:v>
      </x:c>
      <x:c r="E18" s="28" t="n">
        <x:v>0</x:v>
      </x:c>
      <x:c r="F18" s="32" t="n">
        <x:f>D18-E18</x:f>
        <x:v>0</x:v>
      </x:c>
      <x:c r="G18" s="26" t="str">
        <x:v>Essential</x:v>
      </x:c>
      <x:c r="H18" s="26" t="str"/>
      <x:c r="J18" s="11" t="str">
        <x:v>Essential spending total</x:v>
      </x:c>
      <x:c r="K18" s="32" t="n">
        <x:f>SUMIF($G$6:$G$25,"Essential",$E$6:$E$25)</x:f>
        <x:v>1608</x:v>
      </x:c>
    </x:row>
    <x:row r="19">
      <x:c r="A19" s="31"/>
      <x:c r="B19" s="26" t="str">
        <x:v>Utilities</x:v>
      </x:c>
      <x:c r="C19" s="26" t="str"/>
      <x:c r="D19" s="28" t="n">
        <x:v>0</x:v>
      </x:c>
      <x:c r="E19" s="28" t="n">
        <x:v>0</x:v>
      </x:c>
      <x:c r="F19" s="32" t="n">
        <x:f>D19-E19</x:f>
        <x:v>0</x:v>
      </x:c>
      <x:c r="G19" s="26" t="str">
        <x:v>Essential</x:v>
      </x:c>
      <x:c r="H19" s="26" t="str"/>
    </x:row>
    <x:row r="20">
      <x:c r="A20" s="31"/>
      <x:c r="B20" s="26" t="str">
        <x:v>Subscriptions</x:v>
      </x:c>
      <x:c r="C20" s="26" t="str"/>
      <x:c r="D20" s="28" t="n">
        <x:v>0</x:v>
      </x:c>
      <x:c r="E20" s="28" t="n">
        <x:v>0</x:v>
      </x:c>
      <x:c r="F20" s="32" t="n">
        <x:f>D20-E20</x:f>
        <x:v>0</x:v>
      </x:c>
      <x:c r="G20" s="26" t="str">
        <x:v>Optional</x:v>
      </x:c>
      <x:c r="H20" s="26" t="str"/>
    </x:row>
    <x:row r="21">
      <x:c r="A21" s="31"/>
      <x:c r="B21" s="26" t="str">
        <x:v>Health</x:v>
      </x:c>
      <x:c r="C21" s="26" t="str"/>
      <x:c r="D21" s="28" t="n">
        <x:v>0</x:v>
      </x:c>
      <x:c r="E21" s="28" t="n">
        <x:v>0</x:v>
      </x:c>
      <x:c r="F21" s="32" t="n">
        <x:f>D21-E21</x:f>
        <x:v>0</x:v>
      </x:c>
      <x:c r="G21" s="26" t="str">
        <x:v>Essential</x:v>
      </x:c>
      <x:c r="H21" s="26" t="str"/>
    </x:row>
    <x:row r="22">
      <x:c r="A22" s="31"/>
      <x:c r="B22" s="26" t="str">
        <x:v>Education</x:v>
      </x:c>
      <x:c r="C22" s="26" t="str"/>
      <x:c r="D22" s="28" t="n">
        <x:v>0</x:v>
      </x:c>
      <x:c r="E22" s="28" t="n">
        <x:v>0</x:v>
      </x:c>
      <x:c r="F22" s="32" t="n">
        <x:f>D22-E22</x:f>
        <x:v>0</x:v>
      </x:c>
      <x:c r="G22" s="26" t="str">
        <x:v>Optional</x:v>
      </x:c>
      <x:c r="H22" s="26" t="str"/>
    </x:row>
    <x:row r="23">
      <x:c r="A23" s="31"/>
      <x:c r="B23" s="26" t="str">
        <x:v>Entertainment</x:v>
      </x:c>
      <x:c r="C23" s="26" t="str"/>
      <x:c r="D23" s="28" t="n">
        <x:v>0</x:v>
      </x:c>
      <x:c r="E23" s="28" t="n">
        <x:v>0</x:v>
      </x:c>
      <x:c r="F23" s="32" t="n">
        <x:f>D23-E23</x:f>
        <x:v>0</x:v>
      </x:c>
      <x:c r="G23" s="26" t="str">
        <x:v>Optional</x:v>
      </x:c>
      <x:c r="H23" s="26" t="str"/>
    </x:row>
    <x:row r="24">
      <x:c r="A24" s="31"/>
      <x:c r="B24" s="26" t="str">
        <x:v>Shopping</x:v>
      </x:c>
      <x:c r="C24" s="26" t="str"/>
      <x:c r="D24" s="28" t="n">
        <x:v>0</x:v>
      </x:c>
      <x:c r="E24" s="28" t="n">
        <x:v>0</x:v>
      </x:c>
      <x:c r="F24" s="32" t="n">
        <x:f>D24-E24</x:f>
        <x:v>0</x:v>
      </x:c>
      <x:c r="G24" s="26" t="str">
        <x:v>Optional</x:v>
      </x:c>
      <x:c r="H24" s="26" t="str"/>
    </x:row>
    <x:row r="25">
      <x:c r="A25" s="31"/>
      <x:c r="B25" s="26" t="str">
        <x:v>Other</x:v>
      </x:c>
      <x:c r="C25" s="26" t="str"/>
      <x:c r="D25" s="28" t="n">
        <x:v>0</x:v>
      </x:c>
      <x:c r="E25" s="28" t="n">
        <x:v>0</x:v>
      </x:c>
      <x:c r="F25" s="32" t="n">
        <x:f>D25-E25</x:f>
        <x:v>0</x:v>
      </x:c>
      <x:c r="G25" s="26" t="str">
        <x:v>Optional</x:v>
      </x:c>
      <x:c r="H25" s="26" t="str"/>
    </x:row>
    <x:row r="28">
      <x:c r="A28" s="23" t="str">
        <x:v>Summary</x:v>
      </x:c>
      <x:c r="B28" s="23" t="str"/>
      <x:c r="C28" s="23" t="str"/>
      <x:c r="D28" s="37" t="n">
        <x:f>SUM(D6:D25)</x:f>
        <x:v>2125</x:v>
      </x:c>
      <x:c r="E28" s="37" t="n">
        <x:f>SUM(E6:E25)</x:f>
        <x:v>2211</x:v>
      </x:c>
      <x:c r="F28" s="37" t="n">
        <x:f>D28-E28</x:f>
        <x:v>-86</x:v>
      </x:c>
    </x:row>
  </x:sheetData>
  <x:mergeCells>
    <x:mergeCell ref="A1:H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940000534057617" hidden="0" customWidth="1"/>
    <x:col min="2" max="2" width="19.520000457763672" hidden="0" customWidth="1"/>
    <x:col min="3" max="3" width="19.520000457763672" hidden="0" customWidth="1"/>
    <x:col min="4" max="4" width="22.209999084472656" hidden="0" customWidth="1"/>
    <x:col min="5" max="5" width="20.860000610351562" hidden="0" customWidth="1"/>
    <x:col min="6" max="6" width="16.81999969482422" hidden="0" customWidth="1"/>
    <x:col min="7" max="7" width="20.860000610351562" hidden="0" customWidth="1"/>
  </x:cols>
  <x:sheetData>
    <x:row r="1">
      <x:c r="A1" s="5" t="str">
        <x:v>Savings Goals</x:v>
      </x:c>
      <x:c r="B1" s="5" t="str">
        <x:v>Savings Goals</x:v>
      </x:c>
      <x:c r="C1" s="5" t="str">
        <x:v>Savings Goals</x:v>
      </x:c>
      <x:c r="D1" s="5" t="str">
        <x:v>Savings Goals</x:v>
      </x:c>
      <x:c r="E1" s="5" t="str">
        <x:v>Savings Goals</x:v>
      </x:c>
      <x:c r="F1" s="5" t="str">
        <x:v>Savings Goals</x:v>
      </x:c>
      <x:c r="G1" s="5" t="str">
        <x:v>Savings Goals</x:v>
      </x:c>
    </x:row>
    <x:row r="2">
      <x:c r="A2" s="7" t="str">
        <x:v>Taupymo tikslai, progresas ir statusai.</x:v>
      </x:c>
      <x:c r="B2" s="7" t="str">
        <x:v>Taupymo tikslai, progresas ir statusai.</x:v>
      </x:c>
      <x:c r="C2" s="7" t="str">
        <x:v>Taupymo tikslai, progresas ir statusai.</x:v>
      </x:c>
      <x:c r="D2" s="7" t="str">
        <x:v>Taupymo tikslai, progresas ir statusai.</x:v>
      </x:c>
      <x:c r="E2" s="7" t="str">
        <x:v>Taupymo tikslai, progresas ir statusai.</x:v>
      </x:c>
      <x:c r="F2" s="7" t="str">
        <x:v>Taupymo tikslai, progresas ir statusai.</x:v>
      </x:c>
      <x:c r="G2" s="7" t="str">
        <x:v>Taupymo tikslai, progresas ir statusai.</x:v>
      </x:c>
    </x:row>
    <x:row r="5">
      <x:c r="A5" s="24" t="str">
        <x:v>Goal Name</x:v>
      </x:c>
      <x:c r="B5" s="24" t="str">
        <x:v>Target Amount</x:v>
      </x:c>
      <x:c r="C5" s="24" t="str">
        <x:v>Current Saved</x:v>
      </x:c>
      <x:c r="D5" s="24" t="str">
        <x:v>Monthly Contribution</x:v>
      </x:c>
      <x:c r="E5" s="24" t="str">
        <x:v>Remaining Amount</x:v>
      </x:c>
      <x:c r="F5" s="24" t="str">
        <x:v>Progress %</x:v>
      </x:c>
      <x:c r="G5" s="24" t="str">
        <x:v>Status</x:v>
      </x:c>
    </x:row>
    <x:row r="6">
      <x:c r="A6" s="26" t="str">
        <x:v>Emergency fund</x:v>
      </x:c>
      <x:c r="B6" s="28" t="n">
        <x:v>3000</x:v>
      </x:c>
      <x:c r="C6" s="28" t="n">
        <x:v>1100</x:v>
      </x:c>
      <x:c r="D6" s="28" t="n">
        <x:v>250</x:v>
      </x:c>
      <x:c r="E6" s="32" t="n">
        <x:f>MAX(B6-C6,0)</x:f>
        <x:v>1900</x:v>
      </x:c>
      <x:c r="F6" s="39" t="n">
        <x:f>IFERROR(C6/B6,0)</x:f>
        <x:v>0.36666666666666664</x:v>
      </x:c>
      <x:c r="G6" s="30" t="str">
        <x:f>IF(F6&gt;=1,"Goal reached",IF(D6&gt;=E6/6,"On track","Needs attention"))</x:f>
        <x:v>Needs attention</x:v>
      </x:c>
    </x:row>
    <x:row r="7">
      <x:c r="A7" s="26" t="str">
        <x:v>Kelionė</x:v>
      </x:c>
      <x:c r="B7" s="28" t="n">
        <x:v>1800</x:v>
      </x:c>
      <x:c r="C7" s="28" t="n">
        <x:v>640</x:v>
      </x:c>
      <x:c r="D7" s="28" t="n">
        <x:v>150</x:v>
      </x:c>
      <x:c r="E7" s="32" t="n">
        <x:f>MAX(B7-C7,0)</x:f>
        <x:v>1160</x:v>
      </x:c>
      <x:c r="F7" s="39" t="n">
        <x:f>IFERROR(C7/B7,0)</x:f>
        <x:v>0.35555555555555557</x:v>
      </x:c>
      <x:c r="G7" s="30" t="str">
        <x:f>IF(F7&gt;=1,"Goal reached",IF(D7&gt;=E7/6,"On track","Needs attention"))</x:f>
        <x:v>Needs attention</x:v>
      </x:c>
    </x:row>
    <x:row r="8">
      <x:c r="A8" s="26" t="str">
        <x:v>Investavimo pradžia</x:v>
      </x:c>
      <x:c r="B8" s="28" t="n">
        <x:v>1200</x:v>
      </x:c>
      <x:c r="C8" s="28" t="n">
        <x:v>300</x:v>
      </x:c>
      <x:c r="D8" s="28" t="n">
        <x:v>120</x:v>
      </x:c>
      <x:c r="E8" s="32" t="n">
        <x:f>MAX(B8-C8,0)</x:f>
        <x:v>900</x:v>
      </x:c>
      <x:c r="F8" s="39" t="n">
        <x:f>IFERROR(C8/B8,0)</x:f>
        <x:v>0.25</x:v>
      </x:c>
      <x:c r="G8" s="30" t="str">
        <x:f>IF(F8&gt;=1,"Goal reached",IF(D8&gt;=E8/6,"On track","Needs attention"))</x:f>
        <x:v>Needs attention</x:v>
      </x:c>
    </x:row>
    <x:row r="9">
      <x:c r="A9" s="26" t="str">
        <x:v>Namų atnaujinimas</x:v>
      </x:c>
      <x:c r="B9" s="28" t="n">
        <x:v>900</x:v>
      </x:c>
      <x:c r="C9" s="28" t="n">
        <x:v>220</x:v>
      </x:c>
      <x:c r="D9" s="28" t="n">
        <x:v>80</x:v>
      </x:c>
      <x:c r="E9" s="32" t="n">
        <x:f>MAX(B9-C9,0)</x:f>
        <x:v>680</x:v>
      </x:c>
      <x:c r="F9" s="39" t="n">
        <x:f>IFERROR(C9/B9,0)</x:f>
        <x:v>0.24444444444444444</x:v>
      </x:c>
      <x:c r="G9" s="30" t="str">
        <x:f>IF(F9&gt;=1,"Goal reached",IF(D9&gt;=E9/6,"On track","Needs attention"))</x:f>
        <x:v>Needs attention</x:v>
      </x:c>
    </x:row>
    <x:row r="10">
      <x:c r="A10" s="26" t="str">
        <x:v>Mokymosi fondas</x:v>
      </x:c>
      <x:c r="B10" s="28" t="n">
        <x:v>600</x:v>
      </x:c>
      <x:c r="C10" s="28" t="n">
        <x:v>180</x:v>
      </x:c>
      <x:c r="D10" s="28" t="n">
        <x:v>60</x:v>
      </x:c>
      <x:c r="E10" s="32" t="n">
        <x:f>MAX(B10-C10,0)</x:f>
        <x:v>420</x:v>
      </x:c>
      <x:c r="F10" s="39" t="n">
        <x:f>IFERROR(C10/B10,0)</x:f>
        <x:v>0.3</x:v>
      </x:c>
      <x:c r="G10" s="30" t="str">
        <x:f>IF(F10&gt;=1,"Goal reached",IF(D10&gt;=E10/6,"On track","Needs attention"))</x:f>
        <x:v>Needs attention</x:v>
      </x:c>
    </x:row>
    <x:row r="11">
      <x:c r="A11" s="26" t="str"/>
      <x:c r="B11" s="28" t="n">
        <x:v>0</x:v>
      </x:c>
      <x:c r="C11" s="28" t="n">
        <x:v>0</x:v>
      </x:c>
      <x:c r="D11" s="28" t="n">
        <x:v>0</x:v>
      </x:c>
      <x:c r="E11" s="32" t="n">
        <x:f>MAX(B11-C11,0)</x:f>
        <x:v>0</x:v>
      </x:c>
      <x:c r="F11" s="39" t="n">
        <x:f>IFERROR(C11/B11,0)</x:f>
        <x:v>0</x:v>
      </x:c>
      <x:c r="G11" s="30" t="str">
        <x:f>IF(F11&gt;=1,"Goal reached",IF(D11&gt;=E11/6,"On track","Needs attention"))</x:f>
        <x:v>On track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940000534057617" hidden="0" customWidth="1"/>
    <x:col min="2" max="2" width="69.30999755859375" hidden="0" customWidth="1"/>
    <x:col min="3" max="3" width="23.549999237060547" hidden="0" customWidth="1"/>
    <x:col min="4" max="4" width="23.549999237060547" hidden="0" customWidth="1"/>
  </x:cols>
  <x:sheetData>
    <x:row r="1">
      <x:c r="A1" s="5" t="str">
        <x:v>Monthly Review</x:v>
      </x:c>
      <x:c r="B1" s="5" t="str">
        <x:v>Monthly Review</x:v>
      </x:c>
      <x:c r="C1" s="5" t="str">
        <x:v>Monthly Review</x:v>
      </x:c>
      <x:c r="D1" s="5" t="str">
        <x:v>Monthly Review</x:v>
      </x:c>
    </x:row>
    <x:row r="2">
      <x:c r="A2" s="7" t="str">
        <x:v>Mėnesio peržiūra, sprendimai ir kiti veiksmai.</x:v>
      </x:c>
      <x:c r="B2" s="7" t="str">
        <x:v>Mėnesio peržiūra, sprendimai ir kiti veiksmai.</x:v>
      </x:c>
      <x:c r="C2" s="7" t="str">
        <x:v>Mėnesio peržiūra, sprendimai ir kiti veiksmai.</x:v>
      </x:c>
      <x:c r="D2" s="7" t="str">
        <x:v>Mėnesio peržiūra, sprendimai ir kiti veiksmai.</x:v>
      </x:c>
      <x:c r="E2" s="7" t="str">
        <x:v>Mėnesio peržiūra, sprendimai ir kiti veiksmai.</x:v>
      </x:c>
      <x:c r="F2" s="7" t="str">
        <x:v>Mėnesio peržiūra, sprendimai ir kiti veiksmai.</x:v>
      </x:c>
      <x:c r="G2" s="7" t="str">
        <x:v>Mėnesio peržiūra, sprendimai ir kiti veiksmai.</x:v>
      </x:c>
    </x:row>
    <x:row r="4">
      <x:c r="A4" s="24" t="str">
        <x:v>Klausimas</x:v>
      </x:c>
      <x:c r="B4" s="24" t="str">
        <x:v>Atsakymas</x:v>
      </x:c>
    </x:row>
    <x:row r="5">
      <x:c r="A5" s="11" t="str">
        <x:v>Monthly wins</x:v>
      </x:c>
      <x:c r="B5" s="26" t="str">
        <x:v>Pavyko išlaikyti būsto ir transporto išlaidas pagal planą.</x:v>
      </x:c>
    </x:row>
    <x:row r="6">
      <x:c r="A6" s="11" t="str">
        <x:v>Biggest expense</x:v>
      </x:c>
      <x:c r="B6" s="30" t="n">
        <x:f>Dashboard!B12</x:f>
        <x:v>603</x:v>
      </x:c>
    </x:row>
    <x:row r="7">
      <x:c r="A7" s="11" t="str">
        <x:v>Spending mistake</x:v>
      </x:c>
      <x:c r="B7" s="26" t="str">
        <x:v>Pramogoms ir pirkiniams išleista daugiau nei planuota.</x:v>
      </x:c>
    </x:row>
    <x:row r="8">
      <x:c r="A8" s="11" t="str">
        <x:v>Next month adjustment</x:v>
      </x:c>
      <x:c r="B8" s="26" t="str">
        <x:v>Sumažinti optional išlaidas 10-15% ir peržiūrėti prenumeratas.</x:v>
      </x:c>
    </x:row>
    <x:row r="9">
      <x:c r="A9" s="11" t="str">
        <x:v>Review date</x:v>
      </x:c>
      <x:c r="B9" s="31" t="n">
        <x:v>46173</x:v>
      </x:c>
    </x:row>
    <x:row r="12">
      <x:c r="A12" s="24" t="str">
        <x:v>3 action steps</x:v>
      </x:c>
      <x:c r="B12" s="24" t="str"/>
    </x:row>
    <x:row r="13">
      <x:c r="A13" s="11" t="str">
        <x:v>1</x:v>
      </x:c>
      <x:c r="B13" s="26" t="str">
        <x:v>Atšaukti nenaudojamas prenumeratas iki kito mėnesio 5 dienos.</x:v>
      </x:c>
    </x:row>
    <x:row r="14">
      <x:c r="A14" s="11" t="str">
        <x:v>2</x:v>
      </x:c>
      <x:c r="B14" s="26" t="str">
        <x:v>Nustatyti savaitinį maisto biudžetą ir sekti realias išlaidas.</x:v>
      </x:c>
    </x:row>
    <x:row r="15">
      <x:c r="A15" s="11" t="str">
        <x:v>3</x:v>
      </x:c>
      <x:c r="B15" s="26" t="str">
        <x:v>Padidinti automatinį taupymo pervedimą iki tikslo normos.</x:v>
      </x:c>
    </x:row>
  </x:sheetData>
  <x:mergeCells>
    <x:mergeCell ref="A1:D1"/>
    <x:mergeCell ref="A2:G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280000686645508" hidden="0" customWidth="1"/>
    <x:col min="2" max="2" width="23.549999237060547" hidden="0" customWidth="1"/>
    <x:col min="3" max="3" width="4.710000038146973" hidden="0" customWidth="1"/>
    <x:col min="4" max="4" width="30.280000686645508" hidden="0" customWidth="1"/>
    <x:col min="5" max="5" width="23.549999237060547" hidden="0" customWidth="1"/>
    <x:col min="6" max="6" width="4.710000038146973" hidden="0" customWidth="1"/>
    <x:col min="7" max="7" width="19.520000457763672" hidden="0" customWidth="1"/>
    <x:col min="8" max="8" width="19.520000457763672" hidden="0" customWidth="1"/>
    <x:col min="9" max="9" width="19.520000457763672" hidden="0" customWidth="1"/>
  </x:cols>
  <x:sheetData>
    <x:row r="1">
      <x:c r="A1" s="5" t="str">
        <x:v>Dashboard</x:v>
      </x:c>
      <x:c r="B1" s="5" t="str">
        <x:v>Dashboard</x:v>
      </x:c>
      <x:c r="C1" s="5" t="str">
        <x:v>Dashboard</x:v>
      </x:c>
      <x:c r="D1" s="5" t="str">
        <x:v>Dashboard</x:v>
      </x:c>
      <x:c r="E1" s="5" t="str">
        <x:v>Dashboard</x:v>
      </x:c>
      <x:c r="F1" s="5" t="str">
        <x:v>Dashboard</x:v>
      </x:c>
      <x:c r="G1" s="5" t="str">
        <x:v>Dashboard</x:v>
      </x:c>
      <x:c r="H1" s="5" t="str">
        <x:v>Dashboard</x:v>
      </x:c>
      <x:c r="I1" s="5" t="str">
        <x:v>Dashboard</x:v>
      </x:c>
    </x:row>
    <x:row r="2">
      <x:c r="A2" s="7" t="str">
        <x:v>Automatinė biudžeto apžvalga pagal Income, Expenses ir Savings Goals lapus.</x:v>
      </x:c>
      <x:c r="B2" s="7" t="str">
        <x:v>Automatinė biudžeto apžvalga pagal Income, Expenses ir Savings Goals lapus.</x:v>
      </x:c>
      <x:c r="C2" s="7" t="str">
        <x:v>Automatinė biudžeto apžvalga pagal Income, Expenses ir Savings Goals lapus.</x:v>
      </x:c>
      <x:c r="D2" s="7" t="str">
        <x:v>Automatinė biudžeto apžvalga pagal Income, Expenses ir Savings Goals lapus.</x:v>
      </x:c>
      <x:c r="E2" s="7" t="str">
        <x:v>Automatinė biudžeto apžvalga pagal Income, Expenses ir Savings Goals lapus.</x:v>
      </x:c>
      <x:c r="F2" s="7" t="str">
        <x:v>Automatinė biudžeto apžvalga pagal Income, Expenses ir Savings Goals lapus.</x:v>
      </x:c>
      <x:c r="G2" s="7" t="str">
        <x:v>Automatinė biudžeto apžvalga pagal Income, Expenses ir Savings Goals lapus.</x:v>
      </x:c>
    </x:row>
    <x:row r="4">
      <x:c r="A4" s="24" t="str">
        <x:v>Metric</x:v>
      </x:c>
      <x:c r="B4" s="24" t="str">
        <x:v>Value</x:v>
      </x:c>
      <x:c r="D4" s="24" t="str">
        <x:v>Quick view</x:v>
      </x:c>
      <x:c r="E4" s="24" t="str">
        <x:v>Result</x:v>
      </x:c>
      <x:c r="G4" s="24" t="str">
        <x:v>Type</x:v>
      </x:c>
      <x:c r="H4" s="24" t="str">
        <x:v>Planned</x:v>
      </x:c>
      <x:c r="I4" s="24" t="str">
        <x:v>Actual</x:v>
      </x:c>
    </x:row>
    <x:row r="5">
      <x:c r="A5" s="11" t="str">
        <x:v>Total actual income</x:v>
      </x:c>
      <x:c r="B5" s="32" t="n">
        <x:f>Income!E18</x:f>
        <x:v>3015</x:v>
      </x:c>
      <x:c r="D5" s="11" t="str">
        <x:v>Mėnuo</x:v>
      </x:c>
      <x:c r="E5" s="30" t="str">
        <x:f>Inputs!B5</x:f>
        <x:v>2026 gegužė</x:v>
      </x:c>
      <x:c r="G5" s="11" t="str">
        <x:v>Income</x:v>
      </x:c>
      <x:c r="H5" s="32" t="n">
        <x:f>Income!D18</x:f>
        <x:v>2920</x:v>
      </x:c>
      <x:c r="I5" s="32" t="n">
        <x:f>Income!E18</x:f>
        <x:v>3015</x:v>
      </x:c>
    </x:row>
    <x:row r="6">
      <x:c r="A6" s="11" t="str">
        <x:v>Total actual expenses</x:v>
      </x:c>
      <x:c r="B6" s="32" t="n">
        <x:f>Expenses!E28</x:f>
        <x:v>2211</x:v>
      </x:c>
      <x:c r="D6" s="11" t="str">
        <x:v>Valiuta</x:v>
      </x:c>
      <x:c r="E6" s="30" t="str">
        <x:f>Inputs!B6</x:f>
        <x:v>€</x:v>
      </x:c>
      <x:c r="G6" s="11" t="str">
        <x:v>Expenses</x:v>
      </x:c>
      <x:c r="H6" s="32" t="n">
        <x:f>Expenses!D28</x:f>
        <x:v>2125</x:v>
      </x:c>
      <x:c r="I6" s="32" t="n">
        <x:f>Expenses!E28</x:f>
        <x:v>2211</x:v>
      </x:c>
    </x:row>
    <x:row r="7">
      <x:c r="A7" s="11" t="str">
        <x:v>Monthly balance</x:v>
      </x:c>
      <x:c r="B7" s="32" t="n">
        <x:f>B5-B6</x:f>
        <x:v>804</x:v>
      </x:c>
      <x:c r="D7" s="11" t="str">
        <x:v>Taupymo tikslas</x:v>
      </x:c>
      <x:c r="E7" s="43" t="n">
        <x:f>Inputs!B7</x:f>
        <x:v>0.2</x:v>
      </x:c>
      <x:c r="G7" s="11" t="str">
        <x:v>Balance</x:v>
      </x:c>
      <x:c r="H7" s="32" t="n">
        <x:f>Income!D18-Expenses!D28</x:f>
        <x:v>795</x:v>
      </x:c>
      <x:c r="I7" s="32" t="n">
        <x:f>Income!E18-Expenses!E28</x:f>
        <x:v>804</x:v>
      </x:c>
    </x:row>
    <x:row r="8">
      <x:c r="A8" s="11" t="str">
        <x:v>Savings rate %</x:v>
      </x:c>
      <x:c r="B8" s="39" t="n">
        <x:f>IFERROR(B7/B5,0)</x:f>
        <x:v>0.26666666666666666</x:v>
      </x:c>
      <x:c r="D8" s="11" t="str">
        <x:v>Emergency fund goal</x:v>
      </x:c>
      <x:c r="E8" s="32" t="n">
        <x:f>Inputs!B8</x:f>
        <x:v>3000</x:v>
      </x:c>
    </x:row>
    <x:row r="9">
      <x:c r="A9" s="11" t="str">
        <x:v>Planned vs actual income</x:v>
      </x:c>
      <x:c r="B9" s="32" t="n">
        <x:f>Income!E18-Income!D18</x:f>
        <x:v>95</x:v>
      </x:c>
    </x:row>
    <x:row r="10">
      <x:c r="A10" s="11" t="str">
        <x:v>Planned vs actual expenses</x:v>
      </x:c>
      <x:c r="B10" s="32" t="n">
        <x:f>Expenses!E28-Expenses!D28</x:f>
        <x:v>86</x:v>
      </x:c>
    </x:row>
    <x:row r="11">
      <x:c r="A11" s="11" t="str">
        <x:v>Essential expenses</x:v>
      </x:c>
      <x:c r="B11" s="32" t="n">
        <x:f>Expenses!K18</x:f>
        <x:v>1608</x:v>
      </x:c>
    </x:row>
    <x:row r="12">
      <x:c r="A12" s="11" t="str">
        <x:v>Optional expenses</x:v>
      </x:c>
      <x:c r="B12" s="32" t="n">
        <x:f>Expenses!K17</x:f>
        <x:v>603</x:v>
      </x:c>
    </x:row>
    <x:row r="13">
      <x:c r="A13" s="11" t="str">
        <x:v>Largest expense category</x:v>
      </x:c>
      <x:c r="B13" s="30" t="str">
        <x:f>INDEX(Expenses!J6:J15,MATCH(MAX(Expenses!K6:K15),Expenses!K6:K15,0))</x:f>
        <x:v>Housing</x:v>
      </x:c>
    </x:row>
    <x:row r="14">
      <x:c r="A14" s="11" t="str">
        <x:v>Emergency fund progress</x:v>
      </x:c>
      <x:c r="B14" s="39" t="n">
        <x:f>IFERROR(SUM('Savings Goals'!C6:C11)/Inputs!B8,0)</x:f>
        <x:v>0.8133333333333334</x:v>
      </x:c>
    </x:row>
    <x:row r="15">
      <x:c r="A15" s="11" t="str">
        <x:v>Savings goal progress</x:v>
      </x:c>
      <x:c r="B15" s="39" t="n">
        <x:f>IFERROR(SUM('Savings Goals'!C6:C11)/SUM('Savings Goals'!B6:B11),0)</x:f>
        <x:v>0.3253333333333333</x:v>
      </x:c>
    </x:row>
    <x:row r="16">
      <x:c r="A16" s="11" t="str">
        <x:v>Budget status message</x:v>
      </x:c>
      <x:c r="B16" s="42" t="str">
        <x:f>IF(B7&lt;0,"Išlaidos viršijo pajamas – reikia mažinti išlaidas.",IF(B8&gt;=20%,"Stiprus mėnuo – taupymo norma gera.",IF(B8&gt;=10%,"Stabilus mėnuo – galima dar optimizuoti išlaidas.","Reikia peržiūrėti išlaidas ir padidinti taupymą.")))</x:f>
        <x:v>Stiprus mėnuo – taupymo norma gera.</x:v>
      </x:c>
    </x:row>
    <x:row r="17">
      <x:c r="A17" s="11" t="str">
        <x:v>Recommendation message</x:v>
      </x:c>
      <x:c r="B17" s="42" t="str">
        <x:f>IF(B7&lt;0,"Sumažinkite optional išlaidas ir peržiūrėkite didžiausias kategorijas.",IF(B8&gt;=Inputs!B7,"Išlaikykite ritmą ir nukreipkite perteklių į prioritetinį tikslą.","Padidinkite taupymo įnašą arba sumažinkite mažos vertės išlaidas."))</x:f>
        <x:v>Išlaikykite ritmą ir nukreipkite perteklių į prioritetinį tikslą.</x:v>
      </x:c>
    </x:row>
  </x:sheetData>
  <x:mergeCells>
    <x:mergeCell ref="A1:I1"/>
    <x:mergeCell ref="A2:G2"/>
  </x:mergeCells>
  <x:pageMargins left="0.7" right="0.7" top="0.75" bottom="0.75" header="0.3" footer="0.3"/>
  <x:drawing xmlns:r="http://schemas.openxmlformats.org/officeDocument/2006/relationships" r:id="R98db55774de54835"/>
</x:worksheet>
</file>