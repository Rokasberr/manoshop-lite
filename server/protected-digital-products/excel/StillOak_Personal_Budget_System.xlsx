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34e30297b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359ea79bf194237"/>
    <x:sheet xmlns:r="http://schemas.openxmlformats.org/officeDocument/2006/relationships" name="Start Here" sheetId="2" r:id="R7ed33514aac8489d"/>
    <x:sheet xmlns:r="http://schemas.openxmlformats.org/officeDocument/2006/relationships" name="Inputs" sheetId="3" r:id="Ra604c99fe21d472b"/>
    <x:sheet xmlns:r="http://schemas.openxmlformats.org/officeDocument/2006/relationships" name="Income" sheetId="4" r:id="R62c4ab371bd24a65"/>
    <x:sheet xmlns:r="http://schemas.openxmlformats.org/officeDocument/2006/relationships" name="Expenses" sheetId="5" r:id="R717a095588174701"/>
    <x:sheet xmlns:r="http://schemas.openxmlformats.org/officeDocument/2006/relationships" name="Savings Goals" sheetId="6" r:id="R3866f1c7a0fa4929"/>
    <x:sheet xmlns:r="http://schemas.openxmlformats.org/officeDocument/2006/relationships" name="Category Summary" sheetId="7" r:id="Re610d483cc534918"/>
    <x:sheet xmlns:r="http://schemas.openxmlformats.org/officeDocument/2006/relationships" name="Monthly Review" sheetId="8" r:id="R81c41084496d4ca7"/>
    <x:sheet xmlns:r="http://schemas.openxmlformats.org/officeDocument/2006/relationships" name="Settings" sheetId="9" r:id="R86a73e6832c5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€#,##0"/>
    <x:numFmt numFmtId="201" formatCode="0%"/>
    <x:numFmt numFmtId="202" formatCode="yyyy-mm-dd"/>
    <x:numFmt numFmtId="203" formatCode="0"/>
    <x:numFmt numFmtId="204" formatCode="0.0%"/>
  </x:numFmts>
  <x:fonts count="42">
    <x:font>
      <x:sz val="11"/>
      <x:name val="Carlito"/>
    </x:font>
    <x:font>
      <x:b/>
      <x:sz val="11"/>
      <x:color rgb="FFFFFF"/>
      <x:name val="Carlito"/>
    </x:font>
    <x:font>
      <x:b/>
      <x:sz val="20"/>
      <x:color rgb="FFFFFF"/>
      <x:name val="Carlito"/>
    </x:font>
    <x:font>
      <x:sz val="11"/>
      <x:color rgb="7A7068"/>
      <x:name val="Carlito"/>
    </x:font>
    <x:font>
      <x:b/>
      <x:sz val="11"/>
      <x:color rgb="1F1A17"/>
      <x:name val="Carlito"/>
    </x:font>
    <x:font>
      <x:sz val="11"/>
      <x:color rgb="1F1A17"/>
      <x:name val="Carlito"/>
    </x:font>
    <x:font>
      <x:b/>
      <x:sz val="11"/>
      <x:name val="Carlito"/>
    </x:font>
    <x:font>
      <x:b/>
      <x:sz val="10"/>
      <x:color rgb="FFFFFF"/>
      <x:name val="Carlito"/>
    </x:font>
    <x:font>
      <x:b/>
      <x:sz val="24"/>
      <x:color rgb="FFFFFF"/>
      <x:name val="Carlito"/>
    </x:font>
    <x:font>
      <x:b/>
      <x:sz val="20"/>
      <x:color rgb="1F1A17"/>
      <x:name val="Carlito"/>
    </x:font>
    <x:font>
      <x:b/>
      <x:sz val="18"/>
      <x:color rgb="1F1A17"/>
      <x:name val="Carlito"/>
    </x:font>
    <x:font>
      <x:b/>
      <x:sz val="12"/>
      <x:color rgb="1F1A17"/>
      <x:name val="Carlito"/>
    </x:font>
    <x:font>
      <x:b/>
      <x:sz val="24"/>
      <x:color rgb="1F1A17"/>
      <x:name val="Aptos"/>
    </x:font>
    <x:font>
      <x:sz val="11"/>
      <x:color rgb="1F1A17"/>
      <x:name val="Aptos"/>
    </x:font>
    <x:font>
      <x:b/>
      <x:sz val="10"/>
      <x:color rgb="1F1A17"/>
      <x:name val="Aptos"/>
    </x:font>
    <x:font>
      <x:b/>
      <x:sz val="20"/>
      <x:color rgb="1F1A17"/>
      <x:name val="Aptos"/>
    </x:font>
    <x:font>
      <x:b/>
      <x:sz val="18"/>
      <x:color rgb="1F1A17"/>
      <x:name val="Aptos"/>
    </x:font>
    <x:font>
      <x:b/>
      <x:sz val="11"/>
      <x:color rgb="1F1A17"/>
      <x:name val="Aptos"/>
    </x:font>
    <x:font>
      <x:b/>
      <x:sz val="12"/>
      <x:color rgb="1F1A17"/>
      <x:name val="Aptos"/>
    </x:font>
    <x:font>
      <x:b/>
      <x:sz val="24"/>
      <x:color rgb="FFFFFF"/>
      <x:name val="Aptos"/>
    </x:font>
    <x:font>
      <x:sz val="11"/>
      <x:color rgb="7A7068"/>
      <x:name val="Aptos"/>
    </x:font>
    <x:font>
      <x:b/>
      <x:sz val="10"/>
      <x:color rgb="FFFFFF"/>
      <x:name val="Aptos"/>
    </x:font>
    <x:font>
      <x:b/>
      <x:sz val="22"/>
      <x:color rgb="1F1A17"/>
      <x:name val="Aptos"/>
    </x:font>
    <x:font>
      <x:sz val="10"/>
      <x:color rgb="1F1A17"/>
      <x:name val="Aptos"/>
    </x:font>
    <x:font>
      <x:b/>
      <x:sz val="20"/>
      <x:color rgb="FFFFFF"/>
      <x:name val="Aptos"/>
    </x:font>
    <x:font>
      <x:b/>
      <x:i/>
      <x:sz val="11"/>
      <x:color rgb="7A7068"/>
      <x:name val="Aptos"/>
    </x:font>
    <x:font>
      <x:i/>
      <x:sz val="11"/>
      <x:color rgb="7A7068"/>
      <x:name val="Carlito"/>
    </x:font>
    <x:font>
      <x:i/>
      <x:sz val="11"/>
      <x:color rgb="7A7068"/>
      <x:name val="Aptos"/>
    </x:font>
    <x:font>
      <x:b/>
      <x:sz val="1"/>
      <x:color rgb="FFFFFF"/>
      <x:name val="Carlito"/>
    </x:font>
    <x:font>
      <x:sz val="1"/>
      <x:color rgb="FFFFFF"/>
      <x:name val="Carlito"/>
    </x:font>
    <x:font>
      <x:b/>
      <x:sz val="11"/>
      <x:color rgb="FFFFFF"/>
      <x:name val="Aptos"/>
    </x:font>
    <x:font>
      <x:b/>
      <x:sz val="15"/>
      <x:color rgb="1F1A17"/>
      <x:name val="Aptos"/>
    </x:font>
    <x:font>
      <x:b/>
      <x:sz val="15"/>
      <x:color rgb="1F1A17"/>
      <x:name val="Carlito"/>
    </x:font>
    <x:font>
      <x:b/>
      <x:sz val="12"/>
      <x:color rgb="FFFFFF"/>
      <x:name val="Aptos"/>
    </x:font>
    <x:font>
      <x:b/>
      <x:sz val="12"/>
      <x:color rgb="FFFFFF"/>
      <x:name val="Carlito"/>
    </x:font>
    <x:font>
      <x:b/>
      <x:sz val="18"/>
      <x:color rgb="FFFFFF"/>
      <x:name val="Aptos"/>
    </x:font>
    <x:font>
      <x:b/>
      <x:sz val="18"/>
      <x:color rgb="FFFFFF"/>
      <x:name val="Carlito"/>
    </x:font>
    <x:font>
      <x:sz val="10"/>
      <x:color rgb="1F1A17"/>
      <x:name val="Carlito"/>
    </x:font>
    <x:font>
      <x:b/>
      <x:i/>
      <x:sz val="18"/>
      <x:color rgb="FFFFFF"/>
      <x:name val="Aptos"/>
    </x:font>
    <x:font>
      <x:i/>
      <x:sz val="10"/>
      <x:color rgb="7A7068"/>
      <x:name val="Aptos"/>
    </x:font>
    <x:font>
      <x:sz val="9"/>
      <x:color rgb="1F1A17"/>
      <x:name val="Aptos"/>
    </x:font>
    <x:font>
      <x:b/>
      <x:sz val="16"/>
      <x:color rgb="FFFFFF"/>
      <x:name val="Aptos"/>
    </x:font>
  </x:fonts>
  <x:fills count="29">
    <x:fill>
      <x:patternFill patternType="none"/>
    </x:fill>
    <x:fill>
      <x:patternFill patternType="gray125"/>
    </x:fill>
    <x:fill>
      <x:patternFill patternType="solid">
        <x:fgColor rgb="2B211B"/>
      </x:patternFill>
    </x:fill>
    <x:fill>
      <x:patternFill patternType="solid">
        <x:fgColor rgb="F7F3EC"/>
      </x:patternFill>
    </x:fill>
    <x:fill>
      <x:patternFill patternType="solid">
        <x:fgColor rgb="EFE3C6"/>
      </x:patternFill>
    </x:fill>
    <x:fill>
      <x:patternFill patternType="solid">
        <x:fgColor rgb="C8A96A"/>
      </x:patternFill>
    </x:fill>
    <x:fill>
      <x:patternFill patternType="solid">
        <x:fgColor rgb="FFFFFF"/>
      </x:patternFill>
    </x:fill>
    <x:fill>
      <x:patternFill patternType="solid">
        <x:fgColor rgb="FFF6D8"/>
      </x:patternFill>
    </x:fill>
    <x:fill>
      <x:patternFill patternType="solid">
        <x:fgColor rgb="EEF4EE"/>
      </x:patternFill>
    </x:fill>
    <x:fill>
      <x:patternFill patternType="solid">
        <x:fgColor rgb="FBF8F2"/>
      </x:patternFill>
    </x:fill>
    <x:fill>
      <x:patternFill patternType="solid">
        <x:fgColor rgb="DDE8DD"/>
      </x:patternFill>
    </x:fill>
    <x:fill>
      <x:patternFill patternType="solid">
        <x:fgColor rgb="F5DFD9"/>
      </x:patternFill>
    </x:fill>
    <x:fill>
      <x:patternFill patternType="solid">
        <x:fgColor rgb="DDEAF6"/>
      </x:patternFill>
    </x:fill>
    <x:fill>
      <x:patternFill patternType="solid">
        <x:fgColor rgb="1F1A17"/>
      </x:patternFill>
    </x:fill>
    <x:fill>
      <x:patternFill patternType="solid">
        <x:fgColor rgb="F7F3EC"/>
      </x:patternFill>
    </x:fill>
    <x:fill>
      <x:patternFill patternType="solid">
        <x:fgColor rgb="FFFFFF"/>
      </x:patternFill>
    </x:fill>
    <x:fill>
      <x:patternFill patternType="solid">
        <x:fgColor rgb="7E8F75"/>
      </x:patternFill>
    </x:fill>
    <x:fill>
      <x:patternFill patternType="solid">
        <x:fgColor rgb="FCFAF7"/>
      </x:patternFill>
    </x:fill>
    <x:fill>
      <x:patternFill patternType="solid">
        <x:fgColor rgb="E9EFE7"/>
      </x:patternFill>
    </x:fill>
    <x:fill>
      <x:patternFill patternType="solid">
        <x:fgColor rgb="F4ECE0"/>
      </x:patternFill>
    </x:fill>
    <x:fill>
      <x:patternFill patternType="solid">
        <x:fgColor rgb="C8A96A"/>
      </x:patternFill>
    </x:fill>
    <x:fill>
      <x:patternFill patternType="solid">
        <x:fgColor rgb="1F1A17"/>
      </x:patternFill>
    </x:fill>
    <x:fill>
      <x:patternFill patternType="solid">
        <x:fgColor rgb="F7F3EC"/>
      </x:patternFill>
    </x:fill>
    <x:fill>
      <x:patternFill patternType="solid">
        <x:fgColor rgb="7E8F75"/>
      </x:patternFill>
    </x:fill>
    <x:fill>
      <x:patternFill patternType="solid">
        <x:fgColor rgb="FCFAF7"/>
      </x:patternFill>
    </x:fill>
    <x:fill>
      <x:patternFill patternType="solid">
        <x:fgColor rgb="E9EFE7"/>
      </x:patternFill>
    </x:fill>
    <x:fill>
      <x:patternFill patternType="solid">
        <x:fgColor rgb="F4ECE0"/>
      </x:patternFill>
    </x:fill>
    <x:fill>
      <x:patternFill patternType="solid">
        <x:fgColor rgb="C8A96A"/>
      </x:patternFill>
    </x:fill>
    <x:fill>
      <x:patternFill patternType="solid">
        <x:fgColor rgb="FFFFFF"/>
      </x:patternFill>
    </x:fill>
  </x:fills>
  <x:borders count="6">
    <x:border/>
    <x:border/>
    <x:border>
      <x:bottom>
        <x:color rgb="C8A96A"/>
      </x:bottom>
    </x:border>
    <x:border>
      <x:bottom>
        <x:color rgb="C8A96A"/>
      </x:bottom>
    </x:border>
    <x:border>
      <x:bottom>
        <x:color rgb="E8DED2"/>
      </x:bottom>
    </x:border>
    <x:border>
      <x:bottom>
        <x:color rgb="E8DED2"/>
      </x:bottom>
    </x:border>
  </x:borders>
  <x:cellStyleXfs count="1">
    <x:xf numFmtId="0" fontId="0" fillId="0" borderId="0"/>
  </x:cellStyleXfs>
  <x:cellXfs count="9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2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5" fillId="7" borderId="2" xfId="0" applyNumberFormat="1" applyFont="1" applyFill="1" applyBorder="1" applyAlignment="1">
      <x:alignment horizontal="left" vertical="center"/>
    </x:xf>
    <x:xf numFmtId="0" fontId="5" fillId="7" borderId="1" xfId="0" applyNumberFormat="1" applyFont="1" applyFill="1" applyBorder="1"/>
    <x:xf numFmtId="0" fontId="5" fillId="7" borderId="3" xfId="0" applyNumberFormat="1" applyFont="1" applyFill="1" applyBorder="1"/>
    <x:xf numFmtId="0" fontId="5" fillId="7" borderId="1" xfId="0" applyNumberFormat="1" applyFont="1" applyFill="1" applyBorder="1" applyAlignment="1">
      <x:alignment horizontal="left"/>
    </x:xf>
    <x:xf numFmtId="0" fontId="5" fillId="7" borderId="3" xfId="0" applyNumberFormat="1" applyFont="1" applyFill="1" applyBorder="1" applyAlignment="1">
      <x:alignment horizontal="left"/>
    </x:xf>
    <x:xf numFmtId="0" fontId="5" fillId="7" borderId="1" xfId="0" applyNumberFormat="1" applyFont="1" applyFill="1" applyBorder="1" applyAlignment="1">
      <x:alignment horizontal="left" vertical="center"/>
    </x:xf>
    <x:xf numFmtId="0" fontId="5" fillId="7" borderId="3" xfId="0" applyNumberFormat="1" applyFont="1" applyFill="1" applyBorder="1" applyAlignment="1">
      <x:alignment horizontal="left" vertical="center"/>
    </x:xf>
    <x:xf numFmtId="200" fontId="5" fillId="7" borderId="0" xfId="0" applyNumberFormat="1" applyFont="1" applyFill="1" applyBorder="1" applyAlignment="1">
      <x:alignment horizontal="left" vertical="center"/>
    </x:xf>
    <x:xf numFmtId="200" fontId="5" fillId="7" borderId="1" xfId="0" applyNumberFormat="1" applyFont="1" applyFill="1" applyBorder="1" applyAlignment="1">
      <x:alignment horizontal="left" vertical="center"/>
    </x:xf>
    <x:xf numFmtId="201" fontId="5" fillId="7" borderId="0" xfId="0" applyNumberFormat="1" applyFont="1" applyFill="1" applyBorder="1" applyAlignment="1">
      <x:alignment horizontal="left" vertical="center"/>
    </x:xf>
    <x:xf numFmtId="201" fontId="5" fillId="7" borderId="1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7" borderId="0" xfId="0" applyNumberFormat="1" applyFont="1" applyFill="1" applyBorder="1"/>
    <x:xf numFmtId="200" fontId="0" fillId="7" borderId="0" xfId="0" applyNumberFormat="1" applyFont="1" applyFill="1" applyBorder="1"/>
    <x:xf numFmtId="202" fontId="5" fillId="7" borderId="0" xfId="0" applyNumberFormat="1" applyFont="1" applyFill="1" applyBorder="1"/>
    <x:xf numFmtId="200" fontId="5" fillId="7" borderId="0" xfId="0" applyNumberFormat="1" applyFont="1" applyFill="1" applyBorder="1"/>
    <x:xf numFmtId="202" fontId="5" fillId="7" borderId="2" xfId="0" applyNumberFormat="1" applyFont="1" applyFill="1" applyBorder="1"/>
    <x:xf numFmtId="200" fontId="5" fillId="7" borderId="2" xfId="0" applyNumberFormat="1" applyFont="1" applyFill="1" applyBorder="1"/>
    <x:xf numFmtId="202" fontId="5" fillId="7" borderId="0" xfId="0" applyNumberFormat="1" applyFont="1" applyFill="1" applyBorder="1" applyAlignment="1">
      <x:alignment horizontal="left"/>
    </x:xf>
    <x:xf numFmtId="200" fontId="5" fillId="7" borderId="0" xfId="0" applyNumberFormat="1" applyFont="1" applyFill="1" applyBorder="1" applyAlignment="1">
      <x:alignment horizontal="left"/>
    </x:xf>
    <x:xf numFmtId="202" fontId="5" fillId="7" borderId="2" xfId="0" applyNumberFormat="1" applyFont="1" applyFill="1" applyBorder="1" applyAlignment="1">
      <x:alignment horizontal="left"/>
    </x:xf>
    <x:xf numFmtId="200" fontId="5" fillId="7" borderId="2" xfId="0" applyNumberFormat="1" applyFont="1" applyFill="1" applyBorder="1" applyAlignment="1">
      <x:alignment horizontal="left"/>
    </x:xf>
    <x:xf numFmtId="202" fontId="5" fillId="7" borderId="0" xfId="0" applyNumberFormat="1" applyFont="1" applyFill="1" applyBorder="1" applyAlignment="1">
      <x:alignment horizontal="left" vertical="center"/>
    </x:xf>
    <x:xf numFmtId="202" fontId="5" fillId="7" borderId="2" xfId="0" applyNumberFormat="1" applyFont="1" applyFill="1" applyBorder="1" applyAlignment="1">
      <x:alignment horizontal="left" vertical="center"/>
    </x:xf>
    <x:xf numFmtId="200" fontId="5" fillId="7" borderId="2" xfId="0" applyNumberFormat="1" applyFont="1" applyFill="1" applyBorder="1" applyAlignment="1">
      <x:alignment horizontal="left" vertical="center"/>
    </x:xf>
    <x:xf numFmtId="202" fontId="0" fillId="7" borderId="1" xfId="0" applyNumberFormat="1" applyFont="1" applyFill="1" applyBorder="1"/>
    <x:xf numFmtId="200" fontId="0" fillId="7" borderId="1" xfId="0" applyNumberFormat="1" applyFont="1" applyFill="1" applyBorder="1"/>
    <x:xf numFmtId="202" fontId="5" fillId="7" borderId="1" xfId="0" applyNumberFormat="1" applyFont="1" applyFill="1" applyBorder="1"/>
    <x:xf numFmtId="200" fontId="5" fillId="7" borderId="1" xfId="0" applyNumberFormat="1" applyFont="1" applyFill="1" applyBorder="1"/>
    <x:xf numFmtId="202" fontId="5" fillId="7" borderId="3" xfId="0" applyNumberFormat="1" applyFont="1" applyFill="1" applyBorder="1"/>
    <x:xf numFmtId="200" fontId="5" fillId="7" borderId="3" xfId="0" applyNumberFormat="1" applyFont="1" applyFill="1" applyBorder="1"/>
    <x:xf numFmtId="202" fontId="5" fillId="7" borderId="1" xfId="0" applyNumberFormat="1" applyFont="1" applyFill="1" applyBorder="1" applyAlignment="1">
      <x:alignment horizontal="left"/>
    </x:xf>
    <x:xf numFmtId="200" fontId="5" fillId="7" borderId="1" xfId="0" applyNumberFormat="1" applyFont="1" applyFill="1" applyBorder="1" applyAlignment="1">
      <x:alignment horizontal="left"/>
    </x:xf>
    <x:xf numFmtId="202" fontId="5" fillId="7" borderId="3" xfId="0" applyNumberFormat="1" applyFont="1" applyFill="1" applyBorder="1" applyAlignment="1">
      <x:alignment horizontal="left"/>
    </x:xf>
    <x:xf numFmtId="200" fontId="5" fillId="7" borderId="3" xfId="0" applyNumberFormat="1" applyFont="1" applyFill="1" applyBorder="1" applyAlignment="1">
      <x:alignment horizontal="left"/>
    </x:xf>
    <x:xf numFmtId="202" fontId="5" fillId="7" borderId="1" xfId="0" applyNumberFormat="1" applyFont="1" applyFill="1" applyBorder="1" applyAlignment="1">
      <x:alignment horizontal="left" vertical="center"/>
    </x:xf>
    <x:xf numFmtId="202" fontId="5" fillId="7" borderId="3" xfId="0" applyNumberFormat="1" applyFont="1" applyFill="1" applyBorder="1" applyAlignment="1">
      <x:alignment horizontal="left" vertical="center"/>
    </x:xf>
    <x:xf numFmtId="200" fontId="5" fillId="7" borderId="3" xfId="0" applyNumberFormat="1" applyFont="1" applyFill="1" applyBorder="1" applyAlignment="1">
      <x:alignment horizontal="left" vertical="center"/>
    </x:xf>
    <x:xf numFmtId="200" fontId="0" fillId="8" borderId="0" xfId="0" applyNumberFormat="1" applyFont="1" applyFill="1" applyBorder="1"/>
    <x:xf numFmtId="200" fontId="5" fillId="8" borderId="0" xfId="0" applyNumberFormat="1" applyFont="1" applyFill="1" applyBorder="1"/>
    <x:xf numFmtId="200" fontId="5" fillId="8" borderId="4" xfId="0" applyNumberFormat="1" applyFont="1" applyFill="1" applyBorder="1"/>
    <x:xf numFmtId="200" fontId="5" fillId="8" borderId="0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0" fontId="5" fillId="8" borderId="0" xfId="0" applyNumberFormat="1" applyFont="1" applyFill="1" applyBorder="1" applyAlignment="1">
      <x:alignment horizontal="center" vertical="center"/>
    </x:xf>
    <x:xf numFmtId="200" fontId="5" fillId="8" borderId="4" xfId="0" applyNumberFormat="1" applyFont="1" applyFill="1" applyBorder="1" applyAlignment="1">
      <x:alignment horizontal="center" vertical="center"/>
    </x:xf>
    <x:xf numFmtId="200" fontId="0" fillId="8" borderId="1" xfId="0" applyNumberFormat="1" applyFont="1" applyFill="1" applyBorder="1"/>
    <x:xf numFmtId="200" fontId="5" fillId="8" borderId="1" xfId="0" applyNumberFormat="1" applyFont="1" applyFill="1" applyBorder="1"/>
    <x:xf numFmtId="200" fontId="5" fillId="8" borderId="5" xfId="0" applyNumberFormat="1" applyFont="1" applyFill="1" applyBorder="1"/>
    <x:xf numFmtId="200" fontId="5" fillId="8" borderId="1" xfId="0" applyNumberFormat="1" applyFont="1" applyFill="1" applyBorder="1" applyAlignment="1">
      <x:alignment horizontal="center"/>
    </x:xf>
    <x:xf numFmtId="200" fontId="5" fillId="8" borderId="5" xfId="0" applyNumberFormat="1" applyFont="1" applyFill="1" applyBorder="1" applyAlignment="1">
      <x:alignment horizontal="center"/>
    </x:xf>
    <x:xf numFmtId="200" fontId="5" fillId="8" borderId="1" xfId="0" applyNumberFormat="1" applyFont="1" applyFill="1" applyBorder="1" applyAlignment="1">
      <x:alignment horizontal="center" vertical="center"/>
    </x:xf>
    <x:xf numFmtId="200" fontId="5" fillId="8" borderId="5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201" fontId="0" fillId="8" borderId="0" xfId="0" applyNumberFormat="1" applyFont="1" applyFill="1" applyBorder="1"/>
    <x:xf numFmtId="201" fontId="5" fillId="8" borderId="0" xfId="0" applyNumberFormat="1" applyFont="1" applyFill="1" applyBorder="1"/>
    <x:xf numFmtId="201" fontId="5" fillId="8" borderId="4" xfId="0" applyNumberFormat="1" applyFont="1" applyFill="1" applyBorder="1"/>
    <x:xf numFmtId="201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 vertical="center"/>
    </x:xf>
    <x:xf numFmtId="201" fontId="0" fillId="8" borderId="1" xfId="0" applyNumberFormat="1" applyFont="1" applyFill="1" applyBorder="1"/>
    <x:xf numFmtId="201" fontId="5" fillId="8" borderId="1" xfId="0" applyNumberFormat="1" applyFont="1" applyFill="1" applyBorder="1"/>
    <x:xf numFmtId="201" fontId="5" fillId="8" borderId="5" xfId="0" applyNumberFormat="1" applyFont="1" applyFill="1" applyBorder="1"/>
    <x:xf numFmtId="201" fontId="5" fillId="8" borderId="5" xfId="0" applyNumberFormat="1" applyFont="1" applyFill="1" applyBorder="1" applyAlignment="1">
      <x:alignment horizontal="center"/>
    </x:xf>
    <x:xf numFmtId="201" fontId="5" fillId="8" borderId="5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/>
    <x:xf numFmtId="0" fontId="5" fillId="8" borderId="4" xfId="0" applyNumberFormat="1" applyFont="1" applyFill="1" applyBorder="1"/>
    <x:xf numFmtId="201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201" fontId="5" fillId="8" borderId="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4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/>
    <x:xf numFmtId="0" fontId="5" fillId="8" borderId="5" xfId="0" applyNumberFormat="1" applyFont="1" applyFill="1" applyBorder="1"/>
    <x:xf numFmtId="201" fontId="5" fillId="8" borderId="1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1" fontId="5" fillId="8" borderId="1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5" fillId="8" borderId="5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0" fontId="8" fillId="2" borderId="0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left"/>
    </x:xf>
    <x:xf numFmtId="0" fontId="8" fillId="2" borderId="1" xfId="0" applyNumberFormat="1" applyFont="1" applyFill="1" applyBorder="1" applyAlignment="1">
      <x:alignment horizontal="left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horizontal="center"/>
    </x:xf>
    <x:xf numFmtId="0" fontId="9" fillId="10" borderId="1" xfId="0" applyNumberFormat="1" applyFont="1" applyFill="1" applyBorder="1" applyAlignment="1">
      <x:alignment horizontal="center" vertical="center"/>
    </x:xf>
    <x:xf numFmtId="200" fontId="9" fillId="10" borderId="0" xfId="0" applyNumberFormat="1" applyFont="1" applyFill="1" applyBorder="1" applyAlignment="1">
      <x:alignment horizontal="center" vertical="center"/>
    </x:xf>
    <x:xf numFmtId="200" fontId="9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center"/>
    </x:xf>
    <x:xf numFmtId="0" fontId="9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9" fillId="11" borderId="1" xfId="0" applyNumberFormat="1" applyFont="1" applyFill="1" applyBorder="1"/>
    <x:xf numFmtId="0" fontId="9" fillId="11" borderId="1" xfId="0" applyNumberFormat="1" applyFont="1" applyFill="1" applyBorder="1" applyAlignment="1">
      <x:alignment horizontal="center"/>
    </x:xf>
    <x:xf numFmtId="0" fontId="9" fillId="11" borderId="1" xfId="0" applyNumberFormat="1" applyFont="1" applyFill="1" applyBorder="1" applyAlignment="1">
      <x:alignment horizontal="center" vertical="center"/>
    </x:xf>
    <x:xf numFmtId="200" fontId="9" fillId="11" borderId="0" xfId="0" applyNumberFormat="1" applyFont="1" applyFill="1" applyBorder="1" applyAlignment="1">
      <x:alignment horizontal="center" vertical="center"/>
    </x:xf>
    <x:xf numFmtId="200" fontId="9" fillId="11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9" fillId="12" borderId="0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/>
    <x:xf numFmtId="0" fontId="9" fillId="12" borderId="1" xfId="0" applyNumberFormat="1" applyFont="1" applyFill="1" applyBorder="1"/>
    <x:xf numFmtId="0" fontId="9" fillId="12" borderId="1" xfId="0" applyNumberFormat="1" applyFont="1" applyFill="1" applyBorder="1" applyAlignment="1">
      <x:alignment horizontal="center"/>
    </x:xf>
    <x:xf numFmtId="0" fontId="9" fillId="12" borderId="1" xfId="0" applyNumberFormat="1" applyFont="1" applyFill="1" applyBorder="1" applyAlignment="1">
      <x:alignment horizontal="center" vertical="center"/>
    </x:xf>
    <x:xf numFmtId="200" fontId="9" fillId="12" borderId="0" xfId="0" applyNumberFormat="1" applyFont="1" applyFill="1" applyBorder="1" applyAlignment="1">
      <x:alignment horizontal="center" vertical="center"/>
    </x:xf>
    <x:xf numFmtId="200" fontId="9" fillId="12" borderId="1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 applyAlignment="1">
      <x:alignment horizontal="center" vertical="center"/>
    </x:xf>
    <x:xf numFmtId="203" fontId="9" fillId="4" borderId="0" xfId="0" applyNumberFormat="1" applyFont="1" applyFill="1" applyBorder="1" applyAlignment="1">
      <x:alignment horizontal="center" vertical="center"/>
    </x:xf>
    <x:xf numFmtId="203" fontId="9" fillId="4" borderId="1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 applyAlignment="1">
      <x:alignment horizontal="center" vertical="center"/>
    </x:xf>
    <x:xf numFmtId="201" fontId="10" fillId="4" borderId="0" xfId="0" applyNumberFormat="1" applyFont="1" applyFill="1" applyBorder="1" applyAlignment="1">
      <x:alignment horizontal="center" vertical="center"/>
    </x:xf>
    <x:xf numFmtId="201" fontId="10" fillId="4" borderId="1" xfId="0" applyNumberFormat="1" applyFont="1" applyFill="1" applyBorder="1" applyAlignment="1">
      <x:alignment horizontal="center" vertical="center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10" fillId="9" borderId="0" xfId="0" applyNumberFormat="1" applyFont="1" applyFill="1" applyBorder="1" applyAlignment="1">
      <x:alignment horizontal="center" vertical="center"/>
    </x:xf>
    <x:xf numFmtId="0" fontId="10" fillId="9" borderId="1" xfId="0" applyNumberFormat="1" applyFont="1" applyFill="1" applyBorder="1"/>
    <x:xf numFmtId="0" fontId="10" fillId="9" borderId="1" xfId="0" applyNumberFormat="1" applyFont="1" applyFill="1" applyBorder="1" applyAlignment="1">
      <x:alignment horizontal="center"/>
    </x:xf>
    <x:xf numFmtId="0" fontId="10" fillId="9" borderId="1" xfId="0" applyNumberFormat="1" applyFont="1" applyFill="1" applyBorder="1" applyAlignment="1">
      <x:alignment horizontal="center" vertical="center"/>
    </x:xf>
    <x:xf numFmtId="200" fontId="10" fillId="9" borderId="0" xfId="0" applyNumberFormat="1" applyFont="1" applyFill="1" applyBorder="1" applyAlignment="1">
      <x:alignment horizontal="center" vertical="center"/>
    </x:xf>
    <x:xf numFmtId="200" fontId="10" fillId="9" borderId="1" xfId="0" applyNumberFormat="1" applyFont="1" applyFill="1" applyBorder="1" applyAlignment="1">
      <x:alignment horizontal="center" vertical="center"/>
    </x:xf>
    <x:xf numFmtId="201" fontId="10" fillId="9" borderId="0" xfId="0" applyNumberFormat="1" applyFont="1" applyFill="1" applyBorder="1" applyAlignment="1">
      <x:alignment horizontal="center" vertical="center"/>
    </x:xf>
    <x:xf numFmtId="201" fontId="10" fillId="9" borderId="1" xfId="0" applyNumberFormat="1" applyFont="1" applyFill="1" applyBorder="1" applyAlignment="1">
      <x:alignment horizontal="center" vertical="center"/>
    </x:xf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/>
    </x:xf>
    <x:xf numFmtId="0" fontId="10" fillId="10" borderId="0" xfId="0" applyNumberFormat="1" applyFont="1" applyFill="1" applyBorder="1" applyAlignment="1">
      <x:alignment horizontal="center" vertical="center"/>
    </x:xf>
    <x:xf numFmtId="0" fontId="10" fillId="10" borderId="1" xfId="0" applyNumberFormat="1" applyFont="1" applyFill="1" applyBorder="1"/>
    <x:xf numFmtId="0" fontId="10" fillId="10" borderId="1" xfId="0" applyNumberFormat="1" applyFont="1" applyFill="1" applyBorder="1" applyAlignment="1">
      <x:alignment horizontal="center"/>
    </x:xf>
    <x:xf numFmtId="0" fontId="10" fillId="10" borderId="1" xfId="0" applyNumberFormat="1" applyFont="1" applyFill="1" applyBorder="1" applyAlignment="1">
      <x:alignment horizontal="center" vertical="center"/>
    </x:xf>
    <x:xf numFmtId="201" fontId="10" fillId="10" borderId="0" xfId="0" applyNumberFormat="1" applyFont="1" applyFill="1" applyBorder="1" applyAlignment="1">
      <x:alignment horizontal="center" vertical="center"/>
    </x:xf>
    <x:xf numFmtId="201" fontId="10" fillId="10" borderId="1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9" borderId="1" xfId="0" applyNumberFormat="1" applyFont="1" applyFill="1" applyBorder="1"/>
    <x:xf numFmtId="0" fontId="11" fillId="9" borderId="1" xfId="0" applyNumberFormat="1" applyFont="1" applyFill="1" applyBorder="1" applyAlignment="1">
      <x:alignment wrapText="1"/>
    </x:xf>
    <x:xf numFmtId="0" fontId="11" fillId="9" borderId="1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0" fontId="5" fillId="6" borderId="0" xfId="0" applyNumberFormat="1" applyFont="1" applyFill="1" applyBorder="1"/>
    <x:xf numFmtId="201" fontId="5" fillId="6" borderId="0" xfId="0" applyNumberFormat="1" applyFont="1" applyFill="1" applyBorder="1"/>
    <x:xf numFmtId="0" fontId="5" fillId="6" borderId="4" xfId="0" applyNumberFormat="1" applyFont="1" applyFill="1" applyBorder="1"/>
    <x:xf numFmtId="200" fontId="5" fillId="6" borderId="4" xfId="0" applyNumberFormat="1" applyFont="1" applyFill="1" applyBorder="1"/>
    <x:xf numFmtId="201" fontId="5" fillId="6" borderId="4" xfId="0" applyNumberFormat="1" applyFont="1" applyFill="1" applyBorder="1"/>
    <x:xf numFmtId="200" fontId="0" fillId="6" borderId="1" xfId="0" applyNumberFormat="1" applyFont="1" applyFill="1" applyBorder="1"/>
    <x:xf numFmtId="201" fontId="0" fillId="6" borderId="1" xfId="0" applyNumberFormat="1" applyFont="1" applyFill="1" applyBorder="1"/>
    <x:xf numFmtId="200" fontId="5" fillId="6" borderId="1" xfId="0" applyNumberFormat="1" applyFont="1" applyFill="1" applyBorder="1"/>
    <x:xf numFmtId="201" fontId="5" fillId="6" borderId="1" xfId="0" applyNumberFormat="1" applyFont="1" applyFill="1" applyBorder="1"/>
    <x:xf numFmtId="0" fontId="5" fillId="6" borderId="5" xfId="0" applyNumberFormat="1" applyFont="1" applyFill="1" applyBorder="1"/>
    <x:xf numFmtId="200" fontId="5" fillId="6" borderId="5" xfId="0" applyNumberFormat="1" applyFont="1" applyFill="1" applyBorder="1"/>
    <x:xf numFmtId="201" fontId="5" fillId="6" borderId="5" xfId="0" applyNumberFormat="1" applyFont="1" applyFill="1" applyBorder="1"/>
    <x:xf numFmtId="0" fontId="8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9" fillId="10" borderId="0" xfId="0" applyNumberFormat="1" applyFont="1" applyFill="1" applyBorder="1" applyAlignment="1">
      <x:alignment horizontal="center" vertical="center" wrapText="1"/>
    </x:xf>
    <x:xf numFmtId="200" fontId="9" fillId="11" borderId="0" xfId="0" applyNumberFormat="1" applyFont="1" applyFill="1" applyBorder="1" applyAlignment="1">
      <x:alignment horizontal="center" vertical="center" wrapText="1"/>
    </x:xf>
    <x:xf numFmtId="200" fontId="9" fillId="12" borderId="0" xfId="0" applyNumberFormat="1" applyFont="1" applyFill="1" applyBorder="1" applyAlignment="1">
      <x:alignment horizontal="center" vertical="center" wrapText="1"/>
    </x:xf>
    <x:xf numFmtId="203" fontId="9" fillId="4" borderId="0" xfId="0" applyNumberFormat="1" applyFont="1" applyFill="1" applyBorder="1" applyAlignment="1">
      <x:alignment horizontal="center" vertical="center" wrapText="1"/>
    </x:xf>
    <x:xf numFmtId="201" fontId="10" fillId="4" borderId="0" xfId="0" applyNumberFormat="1" applyFont="1" applyFill="1" applyBorder="1" applyAlignment="1">
      <x:alignment horizontal="center" vertical="center" wrapText="1"/>
    </x:xf>
    <x:xf numFmtId="200" fontId="10" fillId="9" borderId="0" xfId="0" applyNumberFormat="1" applyFont="1" applyFill="1" applyBorder="1" applyAlignment="1">
      <x:alignment horizontal="center" vertical="center" wrapText="1"/>
    </x:xf>
    <x:xf numFmtId="201" fontId="10" fillId="9" borderId="0" xfId="0" applyNumberFormat="1" applyFont="1" applyFill="1" applyBorder="1" applyAlignment="1">
      <x:alignment horizontal="center" vertical="center" wrapText="1"/>
    </x:xf>
    <x:xf numFmtId="201" fontId="10" fillId="10" borderId="0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200" fontId="5" fillId="6" borderId="0" xfId="0" applyNumberFormat="1" applyFont="1" applyFill="1" applyBorder="1" applyAlignment="1">
      <x:alignment wrapText="1"/>
    </x:xf>
    <x:xf numFmtId="201" fontId="5" fillId="6" borderId="0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5" fillId="6" borderId="4" xfId="0" applyNumberFormat="1" applyFont="1" applyFill="1" applyBorder="1" applyAlignment="1">
      <x:alignment wrapText="1"/>
    </x:xf>
    <x:xf numFmtId="201" fontId="5" fillId="6" borderId="4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9" fillId="10" borderId="1" xfId="0" applyNumberFormat="1" applyFont="1" applyFill="1" applyBorder="1" applyAlignment="1">
      <x:alignment horizontal="center" vertical="center" wrapText="1"/>
    </x:xf>
    <x:xf numFmtId="200" fontId="9" fillId="11" borderId="1" xfId="0" applyNumberFormat="1" applyFont="1" applyFill="1" applyBorder="1" applyAlignment="1">
      <x:alignment horizontal="center" vertical="center" wrapText="1"/>
    </x:xf>
    <x:xf numFmtId="200" fontId="9" fillId="12" borderId="1" xfId="0" applyNumberFormat="1" applyFont="1" applyFill="1" applyBorder="1" applyAlignment="1">
      <x:alignment horizontal="center" vertical="center" wrapText="1"/>
    </x:xf>
    <x:xf numFmtId="203" fontId="9" fillId="4" borderId="1" xfId="0" applyNumberFormat="1" applyFont="1" applyFill="1" applyBorder="1" applyAlignment="1">
      <x:alignment horizontal="center" vertical="center" wrapText="1"/>
    </x:xf>
    <x:xf numFmtId="201" fontId="10" fillId="4" borderId="1" xfId="0" applyNumberFormat="1" applyFont="1" applyFill="1" applyBorder="1" applyAlignment="1">
      <x:alignment horizontal="center" vertical="center" wrapText="1"/>
    </x:xf>
    <x:xf numFmtId="200" fontId="10" fillId="9" borderId="1" xfId="0" applyNumberFormat="1" applyFont="1" applyFill="1" applyBorder="1" applyAlignment="1">
      <x:alignment horizontal="center" vertical="center" wrapText="1"/>
    </x:xf>
    <x:xf numFmtId="201" fontId="10" fillId="9" borderId="1" xfId="0" applyNumberFormat="1" applyFont="1" applyFill="1" applyBorder="1" applyAlignment="1">
      <x:alignment horizontal="center" vertical="center" wrapText="1"/>
    </x:xf>
    <x:xf numFmtId="201" fontId="10" fillId="10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200" fontId="5" fillId="6" borderId="1" xfId="0" applyNumberFormat="1" applyFont="1" applyFill="1" applyBorder="1" applyAlignment="1">
      <x:alignment wrapText="1"/>
    </x:xf>
    <x:xf numFmtId="201" fontId="5" fillId="6" borderId="1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200" fontId="5" fillId="6" borderId="5" xfId="0" applyNumberFormat="1" applyFont="1" applyFill="1" applyBorder="1" applyAlignment="1">
      <x:alignment wrapText="1"/>
    </x:xf>
    <x:xf numFmtId="201" fontId="5" fillId="6" borderId="5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left" vertical="center" wrapText="1"/>
    </x:xf>
    <x:xf numFmtId="0" fontId="13" fillId="0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wrapText="1"/>
    </x:xf>
    <x:xf numFmtId="0" fontId="14" fillId="2" borderId="0" xfId="0" applyNumberFormat="1" applyFont="1" applyFill="1" applyBorder="1" applyAlignment="1">
      <x:alignment horizontal="center" vertical="center" wrapText="1"/>
    </x:xf>
    <x:xf numFmtId="200" fontId="15" fillId="10" borderId="0" xfId="0" applyNumberFormat="1" applyFont="1" applyFill="1" applyBorder="1" applyAlignment="1">
      <x:alignment horizontal="center" vertical="center" wrapText="1"/>
    </x:xf>
    <x:xf numFmtId="200" fontId="15" fillId="11" borderId="0" xfId="0" applyNumberFormat="1" applyFont="1" applyFill="1" applyBorder="1" applyAlignment="1">
      <x:alignment horizontal="center" vertical="center" wrapText="1"/>
    </x:xf>
    <x:xf numFmtId="200" fontId="15" fillId="12" borderId="0" xfId="0" applyNumberFormat="1" applyFont="1" applyFill="1" applyBorder="1" applyAlignment="1">
      <x:alignment horizontal="center" vertical="center" wrapText="1"/>
    </x:xf>
    <x:xf numFmtId="203" fontId="15" fillId="4" borderId="0" xfId="0" applyNumberFormat="1" applyFont="1" applyFill="1" applyBorder="1" applyAlignment="1">
      <x:alignment horizontal="center" vertical="center" wrapText="1"/>
    </x:xf>
    <x:xf numFmtId="201" fontId="16" fillId="4" borderId="0" xfId="0" applyNumberFormat="1" applyFont="1" applyFill="1" applyBorder="1" applyAlignment="1">
      <x:alignment horizontal="center" vertical="center" wrapText="1"/>
    </x:xf>
    <x:xf numFmtId="200" fontId="16" fillId="9" borderId="0" xfId="0" applyNumberFormat="1" applyFont="1" applyFill="1" applyBorder="1" applyAlignment="1">
      <x:alignment horizontal="center" vertical="center" wrapText="1"/>
    </x:xf>
    <x:xf numFmtId="201" fontId="16" fillId="9" borderId="0" xfId="0" applyNumberFormat="1" applyFont="1" applyFill="1" applyBorder="1" applyAlignment="1">
      <x:alignment horizontal="center" vertical="center" wrapText="1"/>
    </x:xf>
    <x:xf numFmtId="201" fontId="16" fillId="10" borderId="0" xfId="0" applyNumberFormat="1" applyFont="1" applyFill="1" applyBorder="1" applyAlignment="1">
      <x:alignment horizontal="center" vertical="center" wrapText="1"/>
    </x:xf>
    <x:xf numFmtId="0" fontId="17" fillId="4" borderId="2" xfId="0" applyNumberFormat="1" applyFont="1" applyFill="1" applyBorder="1" applyAlignment="1">
      <x:alignment horizontal="center" vertical="center" wrapText="1"/>
    </x:xf>
    <x:xf numFmtId="0" fontId="18" fillId="9" borderId="0" xfId="0" applyNumberFormat="1" applyFont="1" applyFill="1" applyBorder="1" applyAlignment="1">
      <x:alignment vertical="center" wrapText="1"/>
    </x:xf>
    <x:xf numFmtId="0" fontId="18" fillId="4" borderId="0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wrapText="1"/>
    </x:xf>
    <x:xf numFmtId="200" fontId="13" fillId="6" borderId="0" xfId="0" applyNumberFormat="1" applyFont="1" applyFill="1" applyBorder="1" applyAlignment="1">
      <x:alignment wrapText="1"/>
    </x:xf>
    <x:xf numFmtId="201" fontId="13" fillId="6" borderId="0" xfId="0" applyNumberFormat="1" applyFont="1" applyFill="1" applyBorder="1" applyAlignment="1">
      <x:alignment wrapText="1"/>
    </x:xf>
    <x:xf numFmtId="0" fontId="13" fillId="6" borderId="4" xfId="0" applyNumberFormat="1" applyFont="1" applyFill="1" applyBorder="1" applyAlignment="1">
      <x:alignment wrapText="1"/>
    </x:xf>
    <x:xf numFmtId="200" fontId="13" fillId="6" borderId="4" xfId="0" applyNumberFormat="1" applyFont="1" applyFill="1" applyBorder="1" applyAlignment="1">
      <x:alignment wrapText="1"/>
    </x:xf>
    <x:xf numFmtId="201" fontId="13" fillId="6" borderId="4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2" fillId="2" borderId="1" xfId="0" applyNumberFormat="1" applyFont="1" applyFill="1" applyBorder="1" applyAlignment="1">
      <x:alignment horizontal="left" vertical="center" wrapText="1"/>
    </x:xf>
    <x:xf numFmtId="0" fontId="13" fillId="0" borderId="1" xfId="0" applyNumberFormat="1" applyFont="1" applyFill="1" applyBorder="1" applyAlignment="1">
      <x:alignment wrapText="1"/>
    </x:xf>
    <x:xf numFmtId="0" fontId="13" fillId="3" borderId="1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horizontal="center" vertical="center" wrapText="1"/>
    </x:xf>
    <x:xf numFmtId="200" fontId="15" fillId="10" borderId="1" xfId="0" applyNumberFormat="1" applyFont="1" applyFill="1" applyBorder="1" applyAlignment="1">
      <x:alignment horizontal="center" vertical="center" wrapText="1"/>
    </x:xf>
    <x:xf numFmtId="200" fontId="15" fillId="11" borderId="1" xfId="0" applyNumberFormat="1" applyFont="1" applyFill="1" applyBorder="1" applyAlignment="1">
      <x:alignment horizontal="center" vertical="center" wrapText="1"/>
    </x:xf>
    <x:xf numFmtId="200" fontId="15" fillId="12" borderId="1" xfId="0" applyNumberFormat="1" applyFont="1" applyFill="1" applyBorder="1" applyAlignment="1">
      <x:alignment horizontal="center" vertical="center" wrapText="1"/>
    </x:xf>
    <x:xf numFmtId="203" fontId="15" fillId="4" borderId="1" xfId="0" applyNumberFormat="1" applyFont="1" applyFill="1" applyBorder="1" applyAlignment="1">
      <x:alignment horizontal="center" vertical="center" wrapText="1"/>
    </x:xf>
    <x:xf numFmtId="201" fontId="16" fillId="4" borderId="1" xfId="0" applyNumberFormat="1" applyFont="1" applyFill="1" applyBorder="1" applyAlignment="1">
      <x:alignment horizontal="center" vertical="center" wrapText="1"/>
    </x:xf>
    <x:xf numFmtId="200" fontId="16" fillId="9" borderId="1" xfId="0" applyNumberFormat="1" applyFont="1" applyFill="1" applyBorder="1" applyAlignment="1">
      <x:alignment horizontal="center" vertical="center" wrapText="1"/>
    </x:xf>
    <x:xf numFmtId="201" fontId="16" fillId="9" borderId="1" xfId="0" applyNumberFormat="1" applyFont="1" applyFill="1" applyBorder="1" applyAlignment="1">
      <x:alignment horizontal="center" vertical="center" wrapText="1"/>
    </x:xf>
    <x:xf numFmtId="201" fontId="16" fillId="10" borderId="1" xfId="0" applyNumberFormat="1" applyFont="1" applyFill="1" applyBorder="1" applyAlignment="1">
      <x:alignment horizontal="center" vertical="center" wrapText="1"/>
    </x:xf>
    <x:xf numFmtId="0" fontId="17" fillId="4" borderId="3" xfId="0" applyNumberFormat="1" applyFont="1" applyFill="1" applyBorder="1" applyAlignment="1">
      <x:alignment horizontal="center" vertical="center" wrapText="1"/>
    </x:xf>
    <x:xf numFmtId="0" fontId="18" fillId="9" borderId="1" xfId="0" applyNumberFormat="1" applyFont="1" applyFill="1" applyBorder="1" applyAlignment="1">
      <x:alignment vertical="center" wrapText="1"/>
    </x:xf>
    <x:xf numFmtId="0" fontId="18" fillId="4" borderId="1" xfId="0" applyNumberFormat="1" applyFont="1" applyFill="1" applyBorder="1" applyAlignment="1">
      <x:alignment vertical="center" wrapText="1"/>
    </x:xf>
    <x:xf numFmtId="0" fontId="13" fillId="6" borderId="1" xfId="0" applyNumberFormat="1" applyFont="1" applyFill="1" applyBorder="1" applyAlignment="1">
      <x:alignment wrapText="1"/>
    </x:xf>
    <x:xf numFmtId="200" fontId="13" fillId="6" borderId="1" xfId="0" applyNumberFormat="1" applyFont="1" applyFill="1" applyBorder="1" applyAlignment="1">
      <x:alignment wrapText="1"/>
    </x:xf>
    <x:xf numFmtId="201" fontId="13" fillId="6" borderId="1" xfId="0" applyNumberFormat="1" applyFont="1" applyFill="1" applyBorder="1" applyAlignment="1">
      <x:alignment wrapText="1"/>
    </x:xf>
    <x:xf numFmtId="0" fontId="13" fillId="6" borderId="5" xfId="0" applyNumberFormat="1" applyFont="1" applyFill="1" applyBorder="1" applyAlignment="1">
      <x:alignment wrapText="1"/>
    </x:xf>
    <x:xf numFmtId="200" fontId="13" fillId="6" borderId="5" xfId="0" applyNumberFormat="1" applyFont="1" applyFill="1" applyBorder="1" applyAlignment="1">
      <x:alignment wrapText="1"/>
    </x:xf>
    <x:xf numFmtId="201" fontId="13" fillId="6" borderId="5" xfId="0" applyNumberFormat="1" applyFont="1" applyFill="1" applyBorder="1" applyAlignment="1">
      <x:alignment wrapText="1"/>
    </x:xf>
    <x:xf numFmtId="0" fontId="13" fillId="0" borderId="1" xfId="0" applyNumberFormat="1" applyFont="1" applyFill="1" applyBorder="1"/>
    <x:xf numFmtId="0" fontId="15" fillId="2" borderId="0" xfId="0" applyNumberFormat="1" applyFont="1" applyFill="1" applyBorder="1" applyAlignment="1">
      <x:alignment horizontal="left" vertical="center"/>
    </x:xf>
    <x:xf numFmtId="0" fontId="13" fillId="3" borderId="0" xfId="0" applyNumberFormat="1" applyFont="1" applyFill="1" applyBorder="1" applyAlignment="1">
      <x:alignment horizontal="left" vertical="center"/>
    </x:xf>
    <x:xf numFmtId="0" fontId="17" fillId="4" borderId="2" xfId="0" applyNumberFormat="1" applyFont="1" applyFill="1" applyBorder="1" applyAlignment="1">
      <x:alignment horizontal="center" vertical="center"/>
    </x:xf>
    <x:xf numFmtId="0" fontId="17" fillId="5" borderId="0" xfId="0" applyNumberFormat="1" applyFont="1" applyFill="1" applyBorder="1" applyAlignment="1">
      <x:alignment horizontal="center"/>
    </x:xf>
    <x:xf numFmtId="0" fontId="17" fillId="7" borderId="0" xfId="0" applyNumberFormat="1" applyFont="1" applyFill="1" applyBorder="1"/>
    <x:xf numFmtId="0" fontId="17" fillId="8" borderId="0" xfId="0" applyNumberFormat="1" applyFont="1" applyFill="1" applyBorder="1"/>
    <x:xf numFmtId="0" fontId="17" fillId="2" borderId="0" xfId="0" applyNumberFormat="1" applyFont="1" applyFill="1" applyBorder="1"/>
    <x:xf numFmtId="0" fontId="15" fillId="2" borderId="1" xfId="0" applyNumberFormat="1" applyFont="1" applyFill="1" applyBorder="1" applyAlignment="1">
      <x:alignment horizontal="left" vertical="center"/>
    </x:xf>
    <x:xf numFmtId="0" fontId="13" fillId="3" borderId="1" xfId="0" applyNumberFormat="1" applyFont="1" applyFill="1" applyBorder="1" applyAlignment="1">
      <x:alignment horizontal="left" vertical="center"/>
    </x:xf>
    <x:xf numFmtId="0" fontId="17" fillId="4" borderId="3" xfId="0" applyNumberFormat="1" applyFont="1" applyFill="1" applyBorder="1" applyAlignment="1">
      <x:alignment horizontal="center" vertical="center"/>
    </x:xf>
    <x:xf numFmtId="0" fontId="17" fillId="5" borderId="1" xfId="0" applyNumberFormat="1" applyFont="1" applyFill="1" applyBorder="1" applyAlignment="1">
      <x:alignment horizontal="center"/>
    </x:xf>
    <x:xf numFmtId="0" fontId="17" fillId="7" borderId="1" xfId="0" applyNumberFormat="1" applyFont="1" applyFill="1" applyBorder="1"/>
    <x:xf numFmtId="0" fontId="17" fillId="8" borderId="1" xfId="0" applyNumberFormat="1" applyFont="1" applyFill="1" applyBorder="1"/>
    <x:xf numFmtId="0" fontId="17" fillId="2" borderId="1" xfId="0" applyNumberFormat="1" applyFont="1" applyFill="1" applyBorder="1"/>
    <x:xf numFmtId="0" fontId="13" fillId="7" borderId="0" xfId="0" applyNumberFormat="1" applyFont="1" applyFill="1" applyBorder="1" applyAlignment="1">
      <x:alignment horizontal="left" vertical="center"/>
    </x:xf>
    <x:xf numFmtId="0" fontId="13" fillId="9" borderId="0" xfId="0" applyNumberFormat="1" applyFont="1" applyFill="1" applyBorder="1" applyAlignment="1">
      <x:alignment wrapText="1"/>
    </x:xf>
    <x:xf numFmtId="201" fontId="13" fillId="7" borderId="0" xfId="0" applyNumberFormat="1" applyFont="1" applyFill="1" applyBorder="1" applyAlignment="1">
      <x:alignment horizontal="left" vertical="center"/>
    </x:xf>
    <x:xf numFmtId="200" fontId="13" fillId="7" borderId="0" xfId="0" applyNumberFormat="1" applyFont="1" applyFill="1" applyBorder="1" applyAlignment="1">
      <x:alignment horizontal="left" vertical="center"/>
    </x:xf>
    <x:xf numFmtId="0" fontId="13" fillId="7" borderId="2" xfId="0" applyNumberFormat="1" applyFont="1" applyFill="1" applyBorder="1" applyAlignment="1">
      <x:alignment horizontal="left" vertical="center"/>
    </x:xf>
    <x:xf numFmtId="0" fontId="13" fillId="7" borderId="1" xfId="0" applyNumberFormat="1" applyFont="1" applyFill="1" applyBorder="1" applyAlignment="1">
      <x:alignment horizontal="left" vertical="center"/>
    </x:xf>
    <x:xf numFmtId="0" fontId="13" fillId="9" borderId="1" xfId="0" applyNumberFormat="1" applyFont="1" applyFill="1" applyBorder="1" applyAlignment="1">
      <x:alignment wrapText="1"/>
    </x:xf>
    <x:xf numFmtId="201" fontId="13" fillId="7" borderId="1" xfId="0" applyNumberFormat="1" applyFont="1" applyFill="1" applyBorder="1" applyAlignment="1">
      <x:alignment horizontal="left" vertical="center"/>
    </x:xf>
    <x:xf numFmtId="200" fontId="13" fillId="7" borderId="1" xfId="0" applyNumberFormat="1" applyFont="1" applyFill="1" applyBorder="1" applyAlignment="1">
      <x:alignment horizontal="left" vertical="center"/>
    </x:xf>
    <x:xf numFmtId="0" fontId="13" fillId="7" borderId="3" xfId="0" applyNumberFormat="1" applyFont="1" applyFill="1" applyBorder="1" applyAlignment="1">
      <x:alignment horizontal="left" vertical="center"/>
    </x:xf>
    <x:xf numFmtId="202" fontId="13" fillId="7" borderId="0" xfId="0" applyNumberFormat="1" applyFont="1" applyFill="1" applyBorder="1" applyAlignment="1">
      <x:alignment horizontal="left" vertical="center"/>
    </x:xf>
    <x:xf numFmtId="200" fontId="13" fillId="8" borderId="0" xfId="0" applyNumberFormat="1" applyFont="1" applyFill="1" applyBorder="1" applyAlignment="1">
      <x:alignment horizontal="center" vertical="center"/>
    </x:xf>
    <x:xf numFmtId="202" fontId="13" fillId="7" borderId="2" xfId="0" applyNumberFormat="1" applyFont="1" applyFill="1" applyBorder="1" applyAlignment="1">
      <x:alignment horizontal="left" vertical="center"/>
    </x:xf>
    <x:xf numFmtId="200" fontId="13" fillId="7" borderId="2" xfId="0" applyNumberFormat="1" applyFont="1" applyFill="1" applyBorder="1" applyAlignment="1">
      <x:alignment horizontal="left" vertical="center"/>
    </x:xf>
    <x:xf numFmtId="200" fontId="13" fillId="8" borderId="4" xfId="0" applyNumberFormat="1" applyFont="1" applyFill="1" applyBorder="1" applyAlignment="1">
      <x:alignment horizontal="center" vertical="center"/>
    </x:xf>
    <x:xf numFmtId="0" fontId="17" fillId="9" borderId="0" xfId="0" applyNumberFormat="1" applyFont="1" applyFill="1" applyBorder="1"/>
    <x:xf numFmtId="201" fontId="13" fillId="8" borderId="4" xfId="0" applyNumberFormat="1" applyFont="1" applyFill="1" applyBorder="1" applyAlignment="1">
      <x:alignment horizontal="center" vertical="center"/>
    </x:xf>
    <x:xf numFmtId="202" fontId="13" fillId="7" borderId="1" xfId="0" applyNumberFormat="1" applyFont="1" applyFill="1" applyBorder="1" applyAlignment="1">
      <x:alignment horizontal="left" vertical="center"/>
    </x:xf>
    <x:xf numFmtId="200" fontId="13" fillId="8" borderId="1" xfId="0" applyNumberFormat="1" applyFont="1" applyFill="1" applyBorder="1" applyAlignment="1">
      <x:alignment horizontal="center" vertical="center"/>
    </x:xf>
    <x:xf numFmtId="202" fontId="13" fillId="7" borderId="3" xfId="0" applyNumberFormat="1" applyFont="1" applyFill="1" applyBorder="1" applyAlignment="1">
      <x:alignment horizontal="left" vertical="center"/>
    </x:xf>
    <x:xf numFmtId="200" fontId="13" fillId="7" borderId="3" xfId="0" applyNumberFormat="1" applyFont="1" applyFill="1" applyBorder="1" applyAlignment="1">
      <x:alignment horizontal="left" vertical="center"/>
    </x:xf>
    <x:xf numFmtId="200" fontId="13" fillId="8" borderId="5" xfId="0" applyNumberFormat="1" applyFont="1" applyFill="1" applyBorder="1" applyAlignment="1">
      <x:alignment horizontal="center" vertical="center"/>
    </x:xf>
    <x:xf numFmtId="0" fontId="17" fillId="9" borderId="1" xfId="0" applyNumberFormat="1" applyFont="1" applyFill="1" applyBorder="1"/>
    <x:xf numFmtId="201" fontId="13" fillId="8" borderId="5" xfId="0" applyNumberFormat="1" applyFont="1" applyFill="1" applyBorder="1" applyAlignment="1">
      <x:alignment horizontal="center" vertical="center"/>
    </x:xf>
    <x:xf numFmtId="201" fontId="13" fillId="8" borderId="0" xfId="0" applyNumberFormat="1" applyFont="1" applyFill="1" applyBorder="1" applyAlignment="1">
      <x:alignment horizontal="center" vertical="center"/>
    </x:xf>
    <x:xf numFmtId="0" fontId="13" fillId="8" borderId="0" xfId="0" applyNumberFormat="1" applyFont="1" applyFill="1" applyBorder="1" applyAlignment="1">
      <x:alignment horizontal="center" vertical="center"/>
    </x:xf>
    <x:xf numFmtId="0" fontId="13" fillId="8" borderId="4" xfId="0" applyNumberFormat="1" applyFont="1" applyFill="1" applyBorder="1" applyAlignment="1">
      <x:alignment horizontal="center" vertical="center"/>
    </x:xf>
    <x:xf numFmtId="201" fontId="13" fillId="8" borderId="1" xfId="0" applyNumberFormat="1" applyFont="1" applyFill="1" applyBorder="1" applyAlignment="1">
      <x:alignment horizontal="center" vertical="center"/>
    </x:xf>
    <x:xf numFmtId="0" fontId="13" fillId="8" borderId="1" xfId="0" applyNumberFormat="1" applyFont="1" applyFill="1" applyBorder="1" applyAlignment="1">
      <x:alignment horizontal="center" vertical="center"/>
    </x:xf>
    <x:xf numFmtId="0" fontId="13" fillId="8" borderId="5" xfId="0" applyNumberFormat="1" applyFont="1" applyFill="1" applyBorder="1" applyAlignment="1">
      <x:alignment horizontal="center" vertical="center"/>
    </x:xf>
    <x:xf numFmtId="0" fontId="17" fillId="9" borderId="0" xfId="0" applyNumberFormat="1" applyFont="1" applyFill="1" applyBorder="1" applyAlignment="1">
      <x:alignment wrapText="1"/>
    </x:xf>
    <x:xf numFmtId="0" fontId="17" fillId="9" borderId="1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wrapText="1"/>
    </x:xf>
    <x:xf numFmtId="0" fontId="19" fillId="2" borderId="0" xfId="0" applyNumberFormat="1" applyFont="1" applyFill="1" applyBorder="1" applyAlignment="1">
      <x:alignment horizontal="left" vertical="center" wrapText="1"/>
    </x:xf>
    <x:xf numFmtId="0" fontId="19" fillId="2" borderId="0" xfId="0" applyNumberFormat="1" applyFont="1" applyFill="1" applyBorder="1" applyAlignment="1">
      <x:alignment wrapText="1"/>
    </x:xf>
    <x:xf numFmtId="0" fontId="19" fillId="2" borderId="0" xfId="0" applyNumberFormat="1" applyFont="1" applyFill="1" applyBorder="1" applyAlignment="1">
      <x:alignment horizontal="left" wrapText="1"/>
    </x:xf>
    <x:xf numFmtId="0" fontId="13" fillId="2" borderId="1" xfId="0" applyNumberFormat="1" applyFont="1" applyFill="1" applyBorder="1" applyAlignment="1">
      <x:alignment wrapText="1"/>
    </x:xf>
    <x:xf numFmtId="0" fontId="19" fillId="2" borderId="1" xfId="0" applyNumberFormat="1" applyFont="1" applyFill="1" applyBorder="1" applyAlignment="1">
      <x:alignment horizontal="left" vertical="center" wrapText="1"/>
    </x:xf>
    <x:xf numFmtId="0" fontId="19" fillId="2" borderId="1" xfId="0" applyNumberFormat="1" applyFont="1" applyFill="1" applyBorder="1" applyAlignment="1">
      <x:alignment wrapText="1"/>
    </x:xf>
    <x:xf numFmtId="0" fontId="19" fillId="2" borderId="1" xfId="0" applyNumberFormat="1" applyFont="1" applyFill="1" applyBorder="1" applyAlignment="1">
      <x:alignment horizontal="left" wrapText="1"/>
    </x:xf>
    <x:xf numFmtId="0" fontId="20" fillId="3" borderId="0" xfId="0" applyNumberFormat="1" applyFont="1" applyFill="1" applyBorder="1" applyAlignment="1">
      <x:alignment wrapText="1"/>
    </x:xf>
    <x:xf numFmtId="0" fontId="20" fillId="3" borderId="0" xfId="0" applyNumberFormat="1" applyFont="1" applyFill="1" applyBorder="1" applyAlignment="1">
      <x:alignment horizontal="left" wrapText="1"/>
    </x:xf>
    <x:xf numFmtId="0" fontId="20" fillId="3" borderId="0" xfId="0" applyNumberFormat="1" applyFont="1" applyFill="1" applyBorder="1" applyAlignment="1">
      <x:alignment horizontal="left" vertical="center" wrapText="1"/>
    </x:xf>
    <x:xf numFmtId="0" fontId="20" fillId="3" borderId="1" xfId="0" applyNumberFormat="1" applyFont="1" applyFill="1" applyBorder="1" applyAlignment="1">
      <x:alignment wrapText="1"/>
    </x:xf>
    <x:xf numFmtId="0" fontId="20" fillId="3" borderId="1" xfId="0" applyNumberFormat="1" applyFont="1" applyFill="1" applyBorder="1" applyAlignment="1">
      <x:alignment horizontal="left" wrapText="1"/>
    </x:xf>
    <x:xf numFmtId="0" fontId="20" fillId="3" borderId="1" xfId="0" applyNumberFormat="1" applyFont="1" applyFill="1" applyBorder="1" applyAlignment="1">
      <x:alignment horizontal="left" vertical="center" wrapText="1"/>
    </x:xf>
    <x:xf numFmtId="0" fontId="21" fillId="2" borderId="0" xfId="0" applyNumberFormat="1" applyFont="1" applyFill="1" applyBorder="1" applyAlignment="1">
      <x:alignment horizontal="center" vertical="center" wrapText="1"/>
    </x:xf>
    <x:xf numFmtId="0" fontId="21" fillId="2" borderId="0" xfId="0" applyNumberFormat="1" applyFont="1" applyFill="1" applyBorder="1" applyAlignment="1">
      <x:alignment wrapText="1"/>
    </x:xf>
    <x:xf numFmtId="0" fontId="21" fillId="2" borderId="0" xfId="0" applyNumberFormat="1" applyFont="1" applyFill="1" applyBorder="1" applyAlignment="1">
      <x:alignment horizontal="center" wrapText="1"/>
    </x:xf>
    <x:xf numFmtId="0" fontId="21" fillId="2" borderId="1" xfId="0" applyNumberFormat="1" applyFont="1" applyFill="1" applyBorder="1" applyAlignment="1">
      <x:alignment horizontal="center" vertical="center" wrapText="1"/>
    </x:xf>
    <x:xf numFmtId="0" fontId="21" fillId="2" borderId="1" xfId="0" applyNumberFormat="1" applyFont="1" applyFill="1" applyBorder="1" applyAlignment="1">
      <x:alignment wrapText="1"/>
    </x:xf>
    <x:xf numFmtId="0" fontId="21" fillId="2" borderId="1" xfId="0" applyNumberFormat="1" applyFont="1" applyFill="1" applyBorder="1" applyAlignment="1">
      <x:alignment horizontal="center" wrapText="1"/>
    </x:xf>
    <x:xf numFmtId="0" fontId="13" fillId="10" borderId="0" xfId="0" applyNumberFormat="1" applyFont="1" applyFill="1" applyBorder="1" applyAlignment="1">
      <x:alignment wrapText="1"/>
    </x:xf>
    <x:xf numFmtId="200" fontId="22" fillId="10" borderId="0" xfId="0" applyNumberFormat="1" applyFont="1" applyFill="1" applyBorder="1" applyAlignment="1">
      <x:alignment horizontal="center" vertical="center" wrapText="1"/>
    </x:xf>
    <x:xf numFmtId="0" fontId="22" fillId="10" borderId="0" xfId="0" applyNumberFormat="1" applyFont="1" applyFill="1" applyBorder="1" applyAlignment="1">
      <x:alignment wrapText="1"/>
    </x:xf>
    <x:xf numFmtId="0" fontId="22" fillId="10" borderId="0" xfId="0" applyNumberFormat="1" applyFont="1" applyFill="1" applyBorder="1" applyAlignment="1">
      <x:alignment horizontal="center" wrapText="1"/>
    </x:xf>
    <x:xf numFmtId="0" fontId="22" fillId="10" borderId="0" xfId="0" applyNumberFormat="1" applyFont="1" applyFill="1" applyBorder="1" applyAlignment="1">
      <x:alignment horizontal="center" vertical="center" wrapText="1"/>
    </x:xf>
    <x:xf numFmtId="0" fontId="13" fillId="10" borderId="1" xfId="0" applyNumberFormat="1" applyFont="1" applyFill="1" applyBorder="1" applyAlignment="1">
      <x:alignment wrapText="1"/>
    </x:xf>
    <x:xf numFmtId="200" fontId="22" fillId="10" borderId="1" xfId="0" applyNumberFormat="1" applyFont="1" applyFill="1" applyBorder="1" applyAlignment="1">
      <x:alignment horizontal="center" vertical="center" wrapText="1"/>
    </x:xf>
    <x:xf numFmtId="0" fontId="22" fillId="10" borderId="1" xfId="0" applyNumberFormat="1" applyFont="1" applyFill="1" applyBorder="1" applyAlignment="1">
      <x:alignment wrapText="1"/>
    </x:xf>
    <x:xf numFmtId="0" fontId="22" fillId="10" borderId="1" xfId="0" applyNumberFormat="1" applyFont="1" applyFill="1" applyBorder="1" applyAlignment="1">
      <x:alignment horizontal="center" wrapText="1"/>
    </x:xf>
    <x:xf numFmtId="0" fontId="22" fillId="10" borderId="1" xfId="0" applyNumberFormat="1" applyFont="1" applyFill="1" applyBorder="1" applyAlignment="1">
      <x:alignment horizontal="center" vertical="center" wrapText="1"/>
    </x:xf>
    <x:xf numFmtId="0" fontId="13" fillId="11" borderId="0" xfId="0" applyNumberFormat="1" applyFont="1" applyFill="1" applyBorder="1" applyAlignment="1">
      <x:alignment wrapText="1"/>
    </x:xf>
    <x:xf numFmtId="200" fontId="22" fillId="11" borderId="0" xfId="0" applyNumberFormat="1" applyFont="1" applyFill="1" applyBorder="1" applyAlignment="1">
      <x:alignment horizontal="center" vertical="center" wrapText="1"/>
    </x:xf>
    <x:xf numFmtId="0" fontId="22" fillId="11" borderId="0" xfId="0" applyNumberFormat="1" applyFont="1" applyFill="1" applyBorder="1" applyAlignment="1">
      <x:alignment wrapText="1"/>
    </x:xf>
    <x:xf numFmtId="0" fontId="22" fillId="11" borderId="0" xfId="0" applyNumberFormat="1" applyFont="1" applyFill="1" applyBorder="1" applyAlignment="1">
      <x:alignment horizontal="center" wrapText="1"/>
    </x:xf>
    <x:xf numFmtId="0" fontId="22" fillId="11" borderId="0" xfId="0" applyNumberFormat="1" applyFont="1" applyFill="1" applyBorder="1" applyAlignment="1">
      <x:alignment horizontal="center" vertical="center" wrapText="1"/>
    </x:xf>
    <x:xf numFmtId="0" fontId="13" fillId="11" borderId="1" xfId="0" applyNumberFormat="1" applyFont="1" applyFill="1" applyBorder="1" applyAlignment="1">
      <x:alignment wrapText="1"/>
    </x:xf>
    <x:xf numFmtId="200" fontId="22" fillId="11" borderId="1" xfId="0" applyNumberFormat="1" applyFont="1" applyFill="1" applyBorder="1" applyAlignment="1">
      <x:alignment horizontal="center" vertical="center" wrapText="1"/>
    </x:xf>
    <x:xf numFmtId="0" fontId="22" fillId="11" borderId="1" xfId="0" applyNumberFormat="1" applyFont="1" applyFill="1" applyBorder="1" applyAlignment="1">
      <x:alignment wrapText="1"/>
    </x:xf>
    <x:xf numFmtId="0" fontId="22" fillId="11" borderId="1" xfId="0" applyNumberFormat="1" applyFont="1" applyFill="1" applyBorder="1" applyAlignment="1">
      <x:alignment horizontal="center" wrapText="1"/>
    </x:xf>
    <x:xf numFmtId="0" fontId="22" fillId="11" borderId="1" xfId="0" applyNumberFormat="1" applyFont="1" applyFill="1" applyBorder="1" applyAlignment="1">
      <x:alignment horizontal="center" vertical="center" wrapText="1"/>
    </x:xf>
    <x:xf numFmtId="0" fontId="13" fillId="12" borderId="0" xfId="0" applyNumberFormat="1" applyFont="1" applyFill="1" applyBorder="1" applyAlignment="1">
      <x:alignment wrapText="1"/>
    </x:xf>
    <x:xf numFmtId="200" fontId="22" fillId="12" borderId="0" xfId="0" applyNumberFormat="1" applyFont="1" applyFill="1" applyBorder="1" applyAlignment="1">
      <x:alignment horizontal="center" vertical="center" wrapText="1"/>
    </x:xf>
    <x:xf numFmtId="0" fontId="22" fillId="12" borderId="0" xfId="0" applyNumberFormat="1" applyFont="1" applyFill="1" applyBorder="1" applyAlignment="1">
      <x:alignment wrapText="1"/>
    </x:xf>
    <x:xf numFmtId="0" fontId="22" fillId="12" borderId="0" xfId="0" applyNumberFormat="1" applyFont="1" applyFill="1" applyBorder="1" applyAlignment="1">
      <x:alignment horizontal="center" wrapText="1"/>
    </x:xf>
    <x:xf numFmtId="0" fontId="22" fillId="12" borderId="0" xfId="0" applyNumberFormat="1" applyFont="1" applyFill="1" applyBorder="1" applyAlignment="1">
      <x:alignment horizontal="center" vertical="center" wrapText="1"/>
    </x:xf>
    <x:xf numFmtId="0" fontId="13" fillId="12" borderId="1" xfId="0" applyNumberFormat="1" applyFont="1" applyFill="1" applyBorder="1" applyAlignment="1">
      <x:alignment wrapText="1"/>
    </x:xf>
    <x:xf numFmtId="200" fontId="22" fillId="12" borderId="1" xfId="0" applyNumberFormat="1" applyFont="1" applyFill="1" applyBorder="1" applyAlignment="1">
      <x:alignment horizontal="center" vertical="center" wrapText="1"/>
    </x:xf>
    <x:xf numFmtId="0" fontId="22" fillId="12" borderId="1" xfId="0" applyNumberFormat="1" applyFont="1" applyFill="1" applyBorder="1" applyAlignment="1">
      <x:alignment wrapText="1"/>
    </x:xf>
    <x:xf numFmtId="0" fontId="22" fillId="12" borderId="1" xfId="0" applyNumberFormat="1" applyFont="1" applyFill="1" applyBorder="1" applyAlignment="1">
      <x:alignment horizontal="center" wrapText="1"/>
    </x:xf>
    <x:xf numFmtId="0" fontId="22" fillId="12" borderId="1" xfId="0" applyNumberFormat="1" applyFont="1" applyFill="1" applyBorder="1" applyAlignment="1">
      <x:alignment horizontal="center" vertical="center" wrapText="1"/>
    </x:xf>
    <x:xf numFmtId="0" fontId="13" fillId="4" borderId="0" xfId="0" applyNumberFormat="1" applyFont="1" applyFill="1" applyBorder="1" applyAlignment="1">
      <x:alignment wrapText="1"/>
    </x:xf>
    <x:xf numFmtId="203" fontId="22" fillId="4" borderId="0" xfId="0" applyNumberFormat="1" applyFont="1" applyFill="1" applyBorder="1" applyAlignment="1">
      <x:alignment horizontal="center" vertical="center" wrapText="1"/>
    </x:xf>
    <x:xf numFmtId="0" fontId="22" fillId="4" borderId="0" xfId="0" applyNumberFormat="1" applyFont="1" applyFill="1" applyBorder="1" applyAlignment="1">
      <x:alignment wrapText="1"/>
    </x:xf>
    <x:xf numFmtId="0" fontId="22" fillId="4" borderId="0" xfId="0" applyNumberFormat="1" applyFont="1" applyFill="1" applyBorder="1" applyAlignment="1">
      <x:alignment horizontal="center" wrapText="1"/>
    </x:xf>
    <x:xf numFmtId="0" fontId="22" fillId="4" borderId="0" xfId="0" applyNumberFormat="1" applyFont="1" applyFill="1" applyBorder="1" applyAlignment="1">
      <x:alignment horizontal="center" vertical="center" wrapText="1"/>
    </x:xf>
    <x:xf numFmtId="0" fontId="13" fillId="4" borderId="1" xfId="0" applyNumberFormat="1" applyFont="1" applyFill="1" applyBorder="1" applyAlignment="1">
      <x:alignment wrapText="1"/>
    </x:xf>
    <x:xf numFmtId="203" fontId="22" fillId="4" borderId="1" xfId="0" applyNumberFormat="1" applyFont="1" applyFill="1" applyBorder="1" applyAlignment="1">
      <x:alignment horizontal="center" vertical="center" wrapText="1"/>
    </x:xf>
    <x:xf numFmtId="0" fontId="22" fillId="4" borderId="1" xfId="0" applyNumberFormat="1" applyFont="1" applyFill="1" applyBorder="1" applyAlignment="1">
      <x:alignment wrapText="1"/>
    </x:xf>
    <x:xf numFmtId="0" fontId="22" fillId="4" borderId="1" xfId="0" applyNumberFormat="1" applyFont="1" applyFill="1" applyBorder="1" applyAlignment="1">
      <x:alignment horizontal="center" wrapText="1"/>
    </x:xf>
    <x:xf numFmtId="0" fontId="22" fillId="4" borderId="1" xfId="0" applyNumberFormat="1" applyFont="1" applyFill="1" applyBorder="1" applyAlignment="1">
      <x:alignment horizontal="center" vertical="center" wrapText="1"/>
    </x:xf>
    <x:xf numFmtId="201" fontId="15" fillId="4" borderId="0" xfId="0" applyNumberFormat="1" applyFont="1" applyFill="1" applyBorder="1" applyAlignment="1">
      <x:alignment horizontal="center" vertical="center" wrapText="1"/>
    </x:xf>
    <x:xf numFmtId="0" fontId="15" fillId="4" borderId="0" xfId="0" applyNumberFormat="1" applyFont="1" applyFill="1" applyBorder="1" applyAlignment="1">
      <x:alignment wrapText="1"/>
    </x:xf>
    <x:xf numFmtId="0" fontId="15" fillId="4" borderId="0" xfId="0" applyNumberFormat="1" applyFont="1" applyFill="1" applyBorder="1" applyAlignment="1">
      <x:alignment horizontal="center" wrapText="1"/>
    </x:xf>
    <x:xf numFmtId="0" fontId="15" fillId="4" borderId="0" xfId="0" applyNumberFormat="1" applyFont="1" applyFill="1" applyBorder="1" applyAlignment="1">
      <x:alignment horizontal="center" vertical="center" wrapText="1"/>
    </x:xf>
    <x:xf numFmtId="201" fontId="15" fillId="4" borderId="1" xfId="0" applyNumberFormat="1" applyFont="1" applyFill="1" applyBorder="1" applyAlignment="1">
      <x:alignment horizontal="center" vertical="center" wrapText="1"/>
    </x:xf>
    <x:xf numFmtId="0" fontId="15" fillId="4" borderId="1" xfId="0" applyNumberFormat="1" applyFont="1" applyFill="1" applyBorder="1" applyAlignment="1">
      <x:alignment wrapText="1"/>
    </x:xf>
    <x:xf numFmtId="0" fontId="15" fillId="4" borderId="1" xfId="0" applyNumberFormat="1" applyFont="1" applyFill="1" applyBorder="1" applyAlignment="1">
      <x:alignment horizontal="center" wrapText="1"/>
    </x:xf>
    <x:xf numFmtId="0" fontId="15" fillId="4" borderId="1" xfId="0" applyNumberFormat="1" applyFont="1" applyFill="1" applyBorder="1" applyAlignment="1">
      <x:alignment horizontal="center" vertical="center" wrapText="1"/>
    </x:xf>
    <x:xf numFmtId="200" fontId="15" fillId="9" borderId="0" xfId="0" applyNumberFormat="1" applyFont="1" applyFill="1" applyBorder="1" applyAlignment="1">
      <x:alignment horizontal="center" vertical="center" wrapText="1"/>
    </x:xf>
    <x:xf numFmtId="0" fontId="15" fillId="9" borderId="0" xfId="0" applyNumberFormat="1" applyFont="1" applyFill="1" applyBorder="1" applyAlignment="1">
      <x:alignment wrapText="1"/>
    </x:xf>
    <x:xf numFmtId="0" fontId="15" fillId="9" borderId="0" xfId="0" applyNumberFormat="1" applyFont="1" applyFill="1" applyBorder="1" applyAlignment="1">
      <x:alignment horizontal="center" wrapText="1"/>
    </x:xf>
    <x:xf numFmtId="0" fontId="15" fillId="9" borderId="0" xfId="0" applyNumberFormat="1" applyFont="1" applyFill="1" applyBorder="1" applyAlignment="1">
      <x:alignment horizontal="center" vertical="center" wrapText="1"/>
    </x:xf>
    <x:xf numFmtId="200" fontId="15" fillId="9" borderId="1" xfId="0" applyNumberFormat="1" applyFont="1" applyFill="1" applyBorder="1" applyAlignment="1">
      <x:alignment horizontal="center" vertical="center" wrapText="1"/>
    </x:xf>
    <x:xf numFmtId="0" fontId="15" fillId="9" borderId="1" xfId="0" applyNumberFormat="1" applyFont="1" applyFill="1" applyBorder="1" applyAlignment="1">
      <x:alignment wrapText="1"/>
    </x:xf>
    <x:xf numFmtId="0" fontId="15" fillId="9" borderId="1" xfId="0" applyNumberFormat="1" applyFont="1" applyFill="1" applyBorder="1" applyAlignment="1">
      <x:alignment horizontal="center" wrapText="1"/>
    </x:xf>
    <x:xf numFmtId="0" fontId="15" fillId="9" borderId="1" xfId="0" applyNumberFormat="1" applyFont="1" applyFill="1" applyBorder="1" applyAlignment="1">
      <x:alignment horizontal="center" vertical="center" wrapText="1"/>
    </x:xf>
    <x:xf numFmtId="201" fontId="15" fillId="9" borderId="0" xfId="0" applyNumberFormat="1" applyFont="1" applyFill="1" applyBorder="1" applyAlignment="1">
      <x:alignment horizontal="center" vertical="center" wrapText="1"/>
    </x:xf>
    <x:xf numFmtId="201" fontId="15" fillId="9" borderId="1" xfId="0" applyNumberFormat="1" applyFont="1" applyFill="1" applyBorder="1" applyAlignment="1">
      <x:alignment horizontal="center" vertical="center" wrapText="1"/>
    </x:xf>
    <x:xf numFmtId="201" fontId="15" fillId="10" borderId="0" xfId="0" applyNumberFormat="1" applyFont="1" applyFill="1" applyBorder="1" applyAlignment="1">
      <x:alignment horizontal="center" vertical="center" wrapText="1"/>
    </x:xf>
    <x:xf numFmtId="0" fontId="15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horizontal="center" wrapText="1"/>
    </x:xf>
    <x:xf numFmtId="0" fontId="15" fillId="10" borderId="0" xfId="0" applyNumberFormat="1" applyFont="1" applyFill="1" applyBorder="1" applyAlignment="1">
      <x:alignment horizontal="center" vertical="center" wrapText="1"/>
    </x:xf>
    <x:xf numFmtId="201" fontId="15" fillId="10" borderId="1" xfId="0" applyNumberFormat="1" applyFont="1" applyFill="1" applyBorder="1" applyAlignment="1">
      <x:alignment horizontal="center" vertical="center" wrapText="1"/>
    </x:xf>
    <x:xf numFmtId="0" fontId="15" fillId="10" borderId="1" xfId="0" applyNumberFormat="1" applyFont="1" applyFill="1" applyBorder="1" applyAlignment="1">
      <x:alignment wrapText="1"/>
    </x:xf>
    <x:xf numFmtId="0" fontId="15" fillId="10" borderId="1" xfId="0" applyNumberFormat="1" applyFont="1" applyFill="1" applyBorder="1" applyAlignment="1">
      <x:alignment horizontal="center" wrapText="1"/>
    </x:xf>
    <x:xf numFmtId="0" fontId="15" fillId="10" borderId="1" xfId="0" applyNumberFormat="1" applyFont="1" applyFill="1" applyBorder="1" applyAlignment="1">
      <x:alignment horizontal="center" vertical="center" wrapText="1"/>
    </x:xf>
    <x:xf numFmtId="0" fontId="18" fillId="9" borderId="0" xfId="0" applyNumberFormat="1" applyFont="1" applyFill="1" applyBorder="1" applyAlignment="1">
      <x:alignment wrapText="1"/>
    </x:xf>
    <x:xf numFmtId="0" fontId="18" fillId="9" borderId="0" xfId="0" applyNumberFormat="1" applyFont="1" applyFill="1" applyBorder="1" applyAlignment="1">
      <x:alignment horizontal="left" vertical="center" wrapText="1"/>
    </x:xf>
    <x:xf numFmtId="0" fontId="18" fillId="9" borderId="0" xfId="0" applyNumberFormat="1" applyFont="1" applyFill="1" applyBorder="1" applyAlignment="1">
      <x:alignment horizontal="left" wrapText="1"/>
    </x:xf>
    <x:xf numFmtId="0" fontId="18" fillId="9" borderId="1" xfId="0" applyNumberFormat="1" applyFont="1" applyFill="1" applyBorder="1" applyAlignment="1">
      <x:alignment wrapText="1"/>
    </x:xf>
    <x:xf numFmtId="0" fontId="18" fillId="9" borderId="1" xfId="0" applyNumberFormat="1" applyFont="1" applyFill="1" applyBorder="1" applyAlignment="1">
      <x:alignment horizontal="left" vertical="center" wrapText="1"/>
    </x:xf>
    <x:xf numFmtId="0" fontId="18" fillId="9" borderId="1" xfId="0" applyNumberFormat="1" applyFont="1" applyFill="1" applyBorder="1" applyAlignment="1">
      <x:alignment horizontal="left" wrapText="1"/>
    </x:xf>
    <x:xf numFmtId="0" fontId="18" fillId="4" borderId="0" xfId="0" applyNumberFormat="1" applyFont="1" applyFill="1" applyBorder="1" applyAlignment="1">
      <x:alignment wrapText="1"/>
    </x:xf>
    <x:xf numFmtId="0" fontId="18" fillId="4" borderId="0" xfId="0" applyNumberFormat="1" applyFont="1" applyFill="1" applyBorder="1" applyAlignment="1">
      <x:alignment horizontal="left" vertical="center" wrapText="1"/>
    </x:xf>
    <x:xf numFmtId="0" fontId="18" fillId="4" borderId="0" xfId="0" applyNumberFormat="1" applyFont="1" applyFill="1" applyBorder="1" applyAlignment="1">
      <x:alignment horizontal="left" wrapText="1"/>
    </x:xf>
    <x:xf numFmtId="0" fontId="18" fillId="4" borderId="1" xfId="0" applyNumberFormat="1" applyFont="1" applyFill="1" applyBorder="1" applyAlignment="1">
      <x:alignment wrapText="1"/>
    </x:xf>
    <x:xf numFmtId="0" fontId="18" fillId="4" borderId="1" xfId="0" applyNumberFormat="1" applyFont="1" applyFill="1" applyBorder="1" applyAlignment="1">
      <x:alignment horizontal="left" vertical="center" wrapText="1"/>
    </x:xf>
    <x:xf numFmtId="0" fontId="18" fillId="4" borderId="1" xfId="0" applyNumberFormat="1" applyFont="1" applyFill="1" applyBorder="1" applyAlignment="1">
      <x:alignment horizontal="left" wrapText="1"/>
    </x:xf>
    <x:xf numFmtId="0" fontId="23" fillId="6" borderId="0" xfId="0" applyNumberFormat="1" applyFont="1" applyFill="1" applyBorder="1" applyAlignment="1">
      <x:alignment wrapText="1"/>
    </x:xf>
    <x:xf numFmtId="200" fontId="23" fillId="6" borderId="0" xfId="0" applyNumberFormat="1" applyFont="1" applyFill="1" applyBorder="1" applyAlignment="1">
      <x:alignment wrapText="1"/>
    </x:xf>
    <x:xf numFmtId="201" fontId="23" fillId="6" borderId="0" xfId="0" applyNumberFormat="1" applyFont="1" applyFill="1" applyBorder="1" applyAlignment="1">
      <x:alignment wrapText="1"/>
    </x:xf>
    <x:xf numFmtId="0" fontId="23" fillId="6" borderId="4" xfId="0" applyNumberFormat="1" applyFont="1" applyFill="1" applyBorder="1" applyAlignment="1">
      <x:alignment wrapText="1"/>
    </x:xf>
    <x:xf numFmtId="200" fontId="23" fillId="6" borderId="4" xfId="0" applyNumberFormat="1" applyFont="1" applyFill="1" applyBorder="1" applyAlignment="1">
      <x:alignment wrapText="1"/>
    </x:xf>
    <x:xf numFmtId="201" fontId="23" fillId="6" borderId="4" xfId="0" applyNumberFormat="1" applyFont="1" applyFill="1" applyBorder="1" applyAlignment="1">
      <x:alignment wrapText="1"/>
    </x:xf>
    <x:xf numFmtId="0" fontId="23" fillId="6" borderId="0" xfId="0" applyNumberFormat="1" applyFont="1" applyFill="1" applyBorder="1" applyAlignment="1">
      <x:alignment vertical="center" wrapText="1"/>
    </x:xf>
    <x:xf numFmtId="200" fontId="23" fillId="6" borderId="0" xfId="0" applyNumberFormat="1" applyFont="1" applyFill="1" applyBorder="1" applyAlignment="1">
      <x:alignment vertical="center" wrapText="1"/>
    </x:xf>
    <x:xf numFmtId="201" fontId="23" fillId="6" borderId="0" xfId="0" applyNumberFormat="1" applyFont="1" applyFill="1" applyBorder="1" applyAlignment="1">
      <x:alignment vertical="center" wrapText="1"/>
    </x:xf>
    <x:xf numFmtId="0" fontId="23" fillId="6" borderId="4" xfId="0" applyNumberFormat="1" applyFont="1" applyFill="1" applyBorder="1" applyAlignment="1">
      <x:alignment vertical="center" wrapText="1"/>
    </x:xf>
    <x:xf numFmtId="200" fontId="23" fillId="6" borderId="4" xfId="0" applyNumberFormat="1" applyFont="1" applyFill="1" applyBorder="1" applyAlignment="1">
      <x:alignment vertical="center" wrapText="1"/>
    </x:xf>
    <x:xf numFmtId="201" fontId="23" fillId="6" borderId="4" xfId="0" applyNumberFormat="1" applyFont="1" applyFill="1" applyBorder="1" applyAlignment="1">
      <x:alignment vertical="center" wrapText="1"/>
    </x:xf>
    <x:xf numFmtId="0" fontId="23" fillId="6" borderId="1" xfId="0" applyNumberFormat="1" applyFont="1" applyFill="1" applyBorder="1" applyAlignment="1">
      <x:alignment wrapText="1"/>
    </x:xf>
    <x:xf numFmtId="200" fontId="23" fillId="6" borderId="1" xfId="0" applyNumberFormat="1" applyFont="1" applyFill="1" applyBorder="1" applyAlignment="1">
      <x:alignment wrapText="1"/>
    </x:xf>
    <x:xf numFmtId="201" fontId="23" fillId="6" borderId="1" xfId="0" applyNumberFormat="1" applyFont="1" applyFill="1" applyBorder="1" applyAlignment="1">
      <x:alignment wrapText="1"/>
    </x:xf>
    <x:xf numFmtId="0" fontId="23" fillId="6" borderId="5" xfId="0" applyNumberFormat="1" applyFont="1" applyFill="1" applyBorder="1" applyAlignment="1">
      <x:alignment wrapText="1"/>
    </x:xf>
    <x:xf numFmtId="200" fontId="23" fillId="6" borderId="5" xfId="0" applyNumberFormat="1" applyFont="1" applyFill="1" applyBorder="1" applyAlignment="1">
      <x:alignment wrapText="1"/>
    </x:xf>
    <x:xf numFmtId="201" fontId="23" fillId="6" borderId="5" xfId="0" applyNumberFormat="1" applyFont="1" applyFill="1" applyBorder="1" applyAlignment="1">
      <x:alignment wrapText="1"/>
    </x:xf>
    <x:xf numFmtId="0" fontId="23" fillId="6" borderId="1" xfId="0" applyNumberFormat="1" applyFont="1" applyFill="1" applyBorder="1" applyAlignment="1">
      <x:alignment vertical="center" wrapText="1"/>
    </x:xf>
    <x:xf numFmtId="200" fontId="23" fillId="6" borderId="1" xfId="0" applyNumberFormat="1" applyFont="1" applyFill="1" applyBorder="1" applyAlignment="1">
      <x:alignment vertical="center" wrapText="1"/>
    </x:xf>
    <x:xf numFmtId="201" fontId="23" fillId="6" borderId="1" xfId="0" applyNumberFormat="1" applyFont="1" applyFill="1" applyBorder="1" applyAlignment="1">
      <x:alignment vertical="center" wrapText="1"/>
    </x:xf>
    <x:xf numFmtId="0" fontId="23" fillId="6" borderId="5" xfId="0" applyNumberFormat="1" applyFont="1" applyFill="1" applyBorder="1" applyAlignment="1">
      <x:alignment vertical="center" wrapText="1"/>
    </x:xf>
    <x:xf numFmtId="200" fontId="23" fillId="6" borderId="5" xfId="0" applyNumberFormat="1" applyFont="1" applyFill="1" applyBorder="1" applyAlignment="1">
      <x:alignment vertical="center" wrapText="1"/>
    </x:xf>
    <x:xf numFmtId="201" fontId="23" fillId="6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9" fillId="13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24" fillId="13" borderId="0" xfId="0" applyNumberFormat="1" applyFont="1" applyFill="1" applyBorder="1" applyAlignment="1">
      <x:alignment horizontal="left" vertical="center" wrapText="1"/>
    </x:xf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left" wrapText="1"/>
    </x:xf>
    <x:xf numFmtId="0" fontId="2" fillId="13" borderId="0" xfId="0" applyNumberFormat="1" applyFont="1" applyFill="1" applyBorder="1" applyAlignment="1">
      <x:alignment horizontal="left" vertical="center" wrapText="1"/>
    </x:xf>
    <x:xf numFmtId="0" fontId="19" fillId="14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/>
    <x:xf numFmtId="0" fontId="20" fillId="14" borderId="0" xfId="0" applyNumberFormat="1" applyFont="1" applyFill="1" applyBorder="1" applyAlignment="1">
      <x:alignment horizontal="left" vertical="center" wrapText="1"/>
    </x:xf>
    <x:xf numFmtId="0" fontId="25" fillId="14" borderId="0" xfId="0" applyNumberFormat="1" applyFont="1" applyFill="1" applyBorder="1" applyAlignment="1">
      <x:alignment horizontal="left" vertical="center" wrapText="1"/>
    </x:xf>
    <x:xf numFmtId="0" fontId="26" fillId="14" borderId="0" xfId="0" applyNumberFormat="1" applyFont="1" applyFill="1" applyBorder="1"/>
    <x:xf numFmtId="0" fontId="27" fillId="14" borderId="0" xfId="0" applyNumberFormat="1" applyFont="1" applyFill="1" applyBorder="1" applyAlignment="1">
      <x:alignment horizontal="left" vertical="center" wrapText="1"/>
    </x:xf>
    <x:xf numFmtId="0" fontId="26" fillId="14" borderId="0" xfId="0" applyNumberFormat="1" applyFont="1" applyFill="1" applyBorder="1" applyAlignment="1">
      <x:alignment wrapText="1"/>
    </x:xf>
    <x:xf numFmtId="0" fontId="26" fillId="14" borderId="0" xfId="0" applyNumberFormat="1" applyFont="1" applyFill="1" applyBorder="1" applyAlignment="1">
      <x:alignment horizontal="left" wrapText="1"/>
    </x:xf>
    <x:xf numFmtId="0" fontId="26" fillId="14" borderId="0" xfId="0" applyNumberFormat="1" applyFont="1" applyFill="1" applyBorder="1" applyAlignment="1">
      <x:alignment horizontal="left" vertical="center" wrapText="1"/>
    </x:xf>
    <x:xf numFmtId="0" fontId="1" fillId="15" borderId="0" xfId="0" applyNumberFormat="1" applyFont="1" applyFill="1" applyBorder="1"/>
    <x:xf numFmtId="0" fontId="0" fillId="15" borderId="0" xfId="0" applyNumberFormat="1" applyFont="1" applyFill="1" applyBorder="1"/>
    <x:xf numFmtId="200" fontId="0" fillId="15" borderId="0" xfId="0" applyNumberFormat="1" applyFont="1" applyFill="1" applyBorder="1"/>
    <x:xf numFmtId="201" fontId="0" fillId="15" borderId="0" xfId="0" applyNumberFormat="1" applyFont="1" applyFill="1" applyBorder="1"/>
    <x:xf numFmtId="203" fontId="0" fillId="15" borderId="0" xfId="0" applyNumberFormat="1" applyFont="1" applyFill="1" applyBorder="1"/>
    <x:xf numFmtId="0" fontId="28" fillId="15" borderId="0" xfId="0" applyNumberFormat="1" applyFont="1" applyFill="1" applyBorder="1"/>
    <x:xf numFmtId="0" fontId="29" fillId="15" borderId="0" xfId="0" applyNumberFormat="1" applyFont="1" applyFill="1" applyBorder="1"/>
    <x:xf numFmtId="200" fontId="29" fillId="15" borderId="0" xfId="0" applyNumberFormat="1" applyFont="1" applyFill="1" applyBorder="1"/>
    <x:xf numFmtId="201" fontId="29" fillId="15" borderId="0" xfId="0" applyNumberFormat="1" applyFont="1" applyFill="1" applyBorder="1"/>
    <x:xf numFmtId="203" fontId="29" fillId="15" borderId="0" xfId="0" applyNumberFormat="1" applyFont="1" applyFill="1" applyBorder="1"/>
    <x:xf numFmtId="0" fontId="28" fillId="15" borderId="0" xfId="0" applyNumberFormat="1" applyFont="1" applyFill="1" applyBorder="1" applyAlignment="1">
      <x:alignment wrapText="1"/>
    </x:xf>
    <x:xf numFmtId="0" fontId="29" fillId="15" borderId="0" xfId="0" applyNumberFormat="1" applyFont="1" applyFill="1" applyBorder="1" applyAlignment="1">
      <x:alignment wrapText="1"/>
    </x:xf>
    <x:xf numFmtId="200" fontId="29" fillId="15" borderId="0" xfId="0" applyNumberFormat="1" applyFont="1" applyFill="1" applyBorder="1" applyAlignment="1">
      <x:alignment wrapText="1"/>
    </x:xf>
    <x:xf numFmtId="201" fontId="29" fillId="15" borderId="0" xfId="0" applyNumberFormat="1" applyFont="1" applyFill="1" applyBorder="1" applyAlignment="1">
      <x:alignment wrapText="1"/>
    </x:xf>
    <x:xf numFmtId="203" fontId="29" fillId="15" borderId="0" xfId="0" applyNumberFormat="1" applyFont="1" applyFill="1" applyBorder="1" applyAlignment="1">
      <x:alignment wrapText="1"/>
    </x:xf>
    <x:xf numFmtId="0" fontId="28" fillId="15" borderId="0" xfId="0" applyNumberFormat="1" applyFont="1" applyFill="1" applyBorder="1" applyAlignment="1">
      <x:alignment horizontal="center" wrapText="1"/>
    </x:xf>
    <x:xf numFmtId="0" fontId="29" fillId="15" borderId="0" xfId="0" applyNumberFormat="1" applyFont="1" applyFill="1" applyBorder="1" applyAlignment="1">
      <x:alignment horizontal="center" wrapText="1"/>
    </x:xf>
    <x:xf numFmtId="200" fontId="29" fillId="15" borderId="0" xfId="0" applyNumberFormat="1" applyFont="1" applyFill="1" applyBorder="1" applyAlignment="1">
      <x:alignment horizontal="center" wrapText="1"/>
    </x:xf>
    <x:xf numFmtId="201" fontId="29" fillId="15" borderId="0" xfId="0" applyNumberFormat="1" applyFont="1" applyFill="1" applyBorder="1" applyAlignment="1">
      <x:alignment horizontal="center" wrapText="1"/>
    </x:xf>
    <x:xf numFmtId="203" fontId="29" fillId="15" borderId="0" xfId="0" applyNumberFormat="1" applyFont="1" applyFill="1" applyBorder="1" applyAlignment="1">
      <x:alignment horizontal="center" wrapText="1"/>
    </x:xf>
    <x:xf numFmtId="0" fontId="28" fillId="15" borderId="0" xfId="0" applyNumberFormat="1" applyFont="1" applyFill="1" applyBorder="1" applyAlignment="1">
      <x:alignment horizontal="center" vertical="center" wrapText="1"/>
    </x:xf>
    <x:xf numFmtId="0" fontId="29" fillId="15" borderId="0" xfId="0" applyNumberFormat="1" applyFont="1" applyFill="1" applyBorder="1" applyAlignment="1">
      <x:alignment horizontal="center" vertical="center" wrapText="1"/>
    </x:xf>
    <x:xf numFmtId="200" fontId="29" fillId="15" borderId="0" xfId="0" applyNumberFormat="1" applyFont="1" applyFill="1" applyBorder="1" applyAlignment="1">
      <x:alignment horizontal="center" vertical="center" wrapText="1"/>
    </x:xf>
    <x:xf numFmtId="201" fontId="29" fillId="15" borderId="0" xfId="0" applyNumberFormat="1" applyFont="1" applyFill="1" applyBorder="1" applyAlignment="1">
      <x:alignment horizontal="center" vertical="center" wrapText="1"/>
    </x:xf>
    <x:xf numFmtId="203" fontId="29" fillId="15" borderId="0" xfId="0" applyNumberFormat="1" applyFont="1" applyFill="1" applyBorder="1" applyAlignment="1">
      <x:alignment horizontal="center" vertical="center" wrapText="1"/>
    </x:xf>
    <x:xf numFmtId="0" fontId="21" fillId="16" borderId="0" xfId="0" applyNumberFormat="1" applyFont="1" applyFill="1" applyBorder="1" applyAlignment="1">
      <x:alignment horizontal="center" vertical="center" wrapText="1"/>
    </x:xf>
    <x:xf numFmtId="0" fontId="30" fillId="16" borderId="0" xfId="0" applyNumberFormat="1" applyFont="1" applyFill="1" applyBorder="1" applyAlignment="1">
      <x:alignment horizontal="center" vertical="center" wrapText="1"/>
    </x:xf>
    <x:xf numFmtId="200" fontId="22" fillId="17" borderId="0" xfId="0" applyNumberFormat="1" applyFont="1" applyFill="1" applyBorder="1" applyAlignment="1">
      <x:alignment horizontal="center" vertical="center" wrapText="1"/>
    </x:xf>
    <x:xf numFmtId="200" fontId="31" fillId="17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203" fontId="22" fillId="17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203" fontId="31" fillId="17" borderId="0" xfId="0" applyNumberFormat="1" applyFont="1" applyFill="1" applyBorder="1" applyAlignment="1">
      <x:alignment horizontal="center" vertical="center" wrapText="1"/>
    </x:xf>
    <x:xf numFmtId="0" fontId="32" fillId="17" borderId="0" xfId="0" applyNumberFormat="1" applyFont="1" applyFill="1" applyBorder="1"/>
    <x:xf numFmtId="0" fontId="32" fillId="17" borderId="0" xfId="0" applyNumberFormat="1" applyFont="1" applyFill="1" applyBorder="1" applyAlignment="1">
      <x:alignment wrapText="1"/>
    </x:xf>
    <x:xf numFmtId="0" fontId="32" fillId="17" borderId="0" xfId="0" applyNumberFormat="1" applyFont="1" applyFill="1" applyBorder="1" applyAlignment="1">
      <x:alignment horizontal="center" wrapText="1"/>
    </x:xf>
    <x:xf numFmtId="0" fontId="32" fillId="17" borderId="0" xfId="0" applyNumberFormat="1" applyFont="1" applyFill="1" applyBorder="1" applyAlignment="1">
      <x:alignment horizontal="center" vertical="center" wrapText="1"/>
    </x:xf>
    <x:xf numFmtId="201" fontId="15" fillId="17" borderId="0" xfId="0" applyNumberFormat="1" applyFont="1" applyFill="1" applyBorder="1" applyAlignment="1">
      <x:alignment horizontal="center" vertical="center" wrapText="1"/>
    </x:xf>
    <x:xf numFmtId="201" fontId="31" fillId="17" borderId="0" xfId="0" applyNumberFormat="1" applyFont="1" applyFill="1" applyBorder="1" applyAlignment="1">
      <x:alignment horizontal="center" vertical="center" wrapText="1"/>
    </x:xf>
    <x:xf numFmtId="200" fontId="15" fillId="17" borderId="0" xfId="0" applyNumberFormat="1" applyFont="1" applyFill="1" applyBorder="1" applyAlignment="1">
      <x:alignment horizontal="center" vertical="center" wrapText="1"/>
    </x:xf>
    <x:xf numFmtId="201" fontId="32" fillId="17" borderId="0" xfId="0" applyNumberFormat="1" applyFont="1" applyFill="1" applyBorder="1" applyAlignment="1">
      <x:alignment horizontal="center" vertical="center" wrapText="1"/>
    </x:xf>
    <x:xf numFmtId="203" fontId="32" fillId="17" borderId="0" xfId="0" applyNumberFormat="1" applyFont="1" applyFill="1" applyBorder="1" applyAlignment="1">
      <x:alignment horizontal="center" vertical="center" wrapText="1"/>
    </x:xf>
    <x:xf numFmtId="0" fontId="17" fillId="13" borderId="2" xfId="0" applyNumberFormat="1" applyFont="1" applyFill="1" applyBorder="1" applyAlignment="1">
      <x:alignment horizontal="center" vertical="center" wrapText="1"/>
    </x:xf>
    <x:xf numFmtId="0" fontId="33" fillId="13" borderId="2" xfId="0" applyNumberFormat="1" applyFont="1" applyFill="1" applyBorder="1" applyAlignment="1">
      <x:alignment horizontal="center" vertical="center" wrapText="1"/>
    </x:xf>
    <x:xf numFmtId="0" fontId="34" fillId="13" borderId="0" xfId="0" applyNumberFormat="1" applyFont="1" applyFill="1" applyBorder="1"/>
    <x:xf numFmtId="0" fontId="34" fillId="13" borderId="0" xfId="0" applyNumberFormat="1" applyFont="1" applyFill="1" applyBorder="1" applyAlignment="1">
      <x:alignment wrapText="1"/>
    </x:xf>
    <x:xf numFmtId="0" fontId="33" fillId="13" borderId="2" xfId="0" applyNumberFormat="1" applyFont="1" applyFill="1" applyBorder="1" applyAlignment="1">
      <x:alignment horizontal="left" vertical="center" wrapText="1"/>
    </x:xf>
    <x:xf numFmtId="0" fontId="34" fillId="13" borderId="0" xfId="0" applyNumberFormat="1" applyFont="1" applyFill="1" applyBorder="1" applyAlignment="1">
      <x:alignment horizontal="left" wrapText="1"/>
    </x:xf>
    <x:xf numFmtId="0" fontId="34" fillId="13" borderId="0" xfId="0" applyNumberFormat="1" applyFont="1" applyFill="1" applyBorder="1" applyAlignment="1">
      <x:alignment horizontal="left" vertical="center" wrapText="1"/>
    </x:xf>
    <x:xf numFmtId="0" fontId="18" fillId="18" borderId="0" xfId="0" applyNumberFormat="1" applyFont="1" applyFill="1" applyBorder="1" applyAlignment="1">
      <x:alignment horizontal="left" vertical="center" wrapText="1"/>
    </x:xf>
    <x:xf numFmtId="0" fontId="0" fillId="18" borderId="0" xfId="0" applyNumberFormat="1" applyFont="1" applyFill="1" applyBorder="1"/>
    <x:xf numFmtId="0" fontId="13" fillId="18" borderId="0" xfId="0" applyNumberFormat="1" applyFont="1" applyFill="1" applyBorder="1" applyAlignment="1">
      <x:alignment wrapText="1"/>
    </x:xf>
    <x:xf numFmtId="0" fontId="17" fillId="18" borderId="0" xfId="0" applyNumberFormat="1" applyFont="1" applyFill="1" applyBorder="1" applyAlignment="1">
      <x:alignment horizontal="left" vertical="center" wrapText="1"/>
    </x:xf>
    <x:xf numFmtId="0" fontId="4" fillId="18" borderId="0" xfId="0" applyNumberFormat="1" applyFont="1" applyFill="1" applyBorder="1"/>
    <x:xf numFmtId="0" fontId="17" fillId="18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horizontal="left" wrapText="1"/>
    </x:xf>
    <x:xf numFmtId="0" fontId="17" fillId="18" borderId="0" xfId="0" applyNumberFormat="1" applyFont="1" applyFill="1" applyBorder="1" applyAlignment="1">
      <x:alignment horizontal="left" wrapText="1"/>
    </x:xf>
    <x:xf numFmtId="0" fontId="4" fillId="18" borderId="0" xfId="0" applyNumberFormat="1" applyFont="1" applyFill="1" applyBorder="1" applyAlignment="1">
      <x:alignment horizontal="left" vertical="center" wrapText="1"/>
    </x:xf>
    <x:xf numFmtId="0" fontId="18" fillId="19" borderId="0" xfId="0" applyNumberFormat="1" applyFont="1" applyFill="1" applyBorder="1" applyAlignment="1">
      <x:alignment horizontal="left" vertical="center" wrapText="1"/>
    </x:xf>
    <x:xf numFmtId="0" fontId="0" fillId="19" borderId="0" xfId="0" applyNumberFormat="1" applyFont="1" applyFill="1" applyBorder="1"/>
    <x:xf numFmtId="0" fontId="17" fillId="19" borderId="0" xfId="0" applyNumberFormat="1" applyFont="1" applyFill="1" applyBorder="1" applyAlignment="1">
      <x:alignment horizontal="left" vertical="center" wrapText="1"/>
    </x:xf>
    <x:xf numFmtId="0" fontId="4" fillId="19" borderId="0" xfId="0" applyNumberFormat="1" applyFont="1" applyFill="1" applyBorder="1"/>
    <x:xf numFmtId="0" fontId="4" fillId="19" borderId="0" xfId="0" applyNumberFormat="1" applyFont="1" applyFill="1" applyBorder="1" applyAlignment="1">
      <x:alignment wrapText="1"/>
    </x:xf>
    <x:xf numFmtId="0" fontId="4" fillId="19" borderId="0" xfId="0" applyNumberFormat="1" applyFont="1" applyFill="1" applyBorder="1" applyAlignment="1">
      <x:alignment horizontal="left" wrapText="1"/>
    </x:xf>
    <x:xf numFmtId="0" fontId="4" fillId="19" borderId="0" xfId="0" applyNumberFormat="1" applyFont="1" applyFill="1" applyBorder="1" applyAlignment="1">
      <x:alignment horizontal="left" vertical="center" wrapText="1"/>
    </x:xf>
    <x:xf numFmtId="0" fontId="21" fillId="20" borderId="0" xfId="0" applyNumberFormat="1" applyFont="1" applyFill="1" applyBorder="1" applyAlignment="1">
      <x:alignment horizontal="center" vertical="center" wrapText="1"/>
    </x:xf>
    <x:xf numFmtId="0" fontId="23" fillId="15" borderId="0" xfId="0" applyNumberFormat="1" applyFont="1" applyFill="1" applyBorder="1" applyAlignment="1">
      <x:alignment vertical="center" wrapText="1"/>
    </x:xf>
    <x:xf numFmtId="200" fontId="23" fillId="15" borderId="0" xfId="0" applyNumberFormat="1" applyFont="1" applyFill="1" applyBorder="1" applyAlignment="1">
      <x:alignment vertical="center" wrapText="1"/>
    </x:xf>
    <x:xf numFmtId="201" fontId="23" fillId="15" borderId="0" xfId="0" applyNumberFormat="1" applyFont="1" applyFill="1" applyBorder="1" applyAlignment="1">
      <x:alignment vertical="center" wrapText="1"/>
    </x:xf>
    <x:xf numFmtId="0" fontId="23" fillId="15" borderId="4" xfId="0" applyNumberFormat="1" applyFont="1" applyFill="1" applyBorder="1" applyAlignment="1">
      <x:alignment vertical="center" wrapText="1"/>
    </x:xf>
    <x:xf numFmtId="200" fontId="23" fillId="15" borderId="4" xfId="0" applyNumberFormat="1" applyFont="1" applyFill="1" applyBorder="1" applyAlignment="1">
      <x:alignment vertical="center" wrapText="1"/>
    </x:xf>
    <x:xf numFmtId="201" fontId="23" fillId="15" borderId="4" xfId="0" applyNumberFormat="1" applyFont="1" applyFill="1" applyBorder="1" applyAlignment="1">
      <x:alignment vertical="center" wrapText="1"/>
    </x:xf>
    <x:xf numFmtId="0" fontId="23" fillId="15" borderId="0" xfId="0" applyNumberFormat="1" applyFont="1" applyFill="1" applyBorder="1" applyAlignment="1">
      <x:alignment horizontal="center" vertical="center" wrapText="1"/>
    </x:xf>
    <x:xf numFmtId="200" fontId="23" fillId="15" borderId="0" xfId="0" applyNumberFormat="1" applyFont="1" applyFill="1" applyBorder="1" applyAlignment="1">
      <x:alignment horizontal="center" vertical="center" wrapText="1"/>
    </x:xf>
    <x:xf numFmtId="201" fontId="23" fillId="15" borderId="0" xfId="0" applyNumberFormat="1" applyFont="1" applyFill="1" applyBorder="1" applyAlignment="1">
      <x:alignment horizontal="center" vertical="center" wrapText="1"/>
    </x:xf>
    <x:xf numFmtId="0" fontId="23" fillId="15" borderId="4" xfId="0" applyNumberFormat="1" applyFont="1" applyFill="1" applyBorder="1" applyAlignment="1">
      <x:alignment horizontal="center" vertical="center" wrapText="1"/>
    </x:xf>
    <x:xf numFmtId="200" fontId="23" fillId="15" borderId="4" xfId="0" applyNumberFormat="1" applyFont="1" applyFill="1" applyBorder="1" applyAlignment="1">
      <x:alignment horizontal="center" vertical="center" wrapText="1"/>
    </x:xf>
    <x:xf numFmtId="201" fontId="23" fillId="15" borderId="4" xfId="0" applyNumberFormat="1" applyFont="1" applyFill="1" applyBorder="1" applyAlignment="1">
      <x:alignment horizontal="center" vertical="center" wrapText="1"/>
    </x:xf>
    <x:xf numFmtId="0" fontId="23" fillId="15" borderId="0" xfId="0" applyNumberFormat="1" applyFont="1" applyFill="1" applyBorder="1" applyAlignment="1">
      <x:alignment horizontal="left" vertical="center" wrapText="1"/>
    </x:xf>
    <x:xf numFmtId="0" fontId="23" fillId="15" borderId="4" xfId="0" applyNumberFormat="1" applyFont="1" applyFill="1" applyBorder="1" applyAlignment="1">
      <x:alignment horizontal="left" vertical="center" wrapText="1"/>
    </x:xf>
    <x:xf numFmtId="0" fontId="13" fillId="15" borderId="0" xfId="0" applyNumberFormat="1" applyFont="1" applyFill="1" applyBorder="1" applyAlignment="1">
      <x:alignment wrapText="1"/>
    </x:xf>
    <x:xf numFmtId="0" fontId="23" fillId="15" borderId="0" xfId="0" applyNumberFormat="1" applyFont="1" applyFill="1" applyBorder="1" applyAlignment="1">
      <x:alignment wrapText="1"/>
    </x:xf>
    <x:xf numFmtId="0" fontId="23" fillId="15" borderId="0" xfId="0" applyNumberFormat="1" applyFont="1" applyFill="1" applyBorder="1" applyAlignment="1">
      <x:alignment horizontal="center" wrapText="1"/>
    </x:xf>
    <x:xf numFmtId="0" fontId="15" fillId="13" borderId="0" xfId="0" applyNumberFormat="1" applyFont="1" applyFill="1" applyBorder="1" applyAlignment="1">
      <x:alignment horizontal="left" vertical="center"/>
    </x:xf>
    <x:xf numFmtId="0" fontId="13" fillId="13" borderId="0" xfId="0" applyNumberFormat="1" applyFont="1" applyFill="1" applyBorder="1"/>
    <x:xf numFmtId="0" fontId="35" fillId="13" borderId="0" xfId="0" applyNumberFormat="1" applyFont="1" applyFill="1" applyBorder="1" applyAlignment="1">
      <x:alignment horizontal="left" vertical="center"/>
    </x:xf>
    <x:xf numFmtId="0" fontId="35" fillId="13" borderId="0" xfId="0" applyNumberFormat="1" applyFont="1" applyFill="1" applyBorder="1"/>
    <x:xf numFmtId="0" fontId="35" fillId="13" borderId="0" xfId="0" applyNumberFormat="1" applyFont="1" applyFill="1" applyBorder="1" applyAlignment="1">
      <x:alignment horizontal="left" vertical="center" wrapText="1"/>
    </x:xf>
    <x:xf numFmtId="0" fontId="35" fillId="13" borderId="0" xfId="0" applyNumberFormat="1" applyFont="1" applyFill="1" applyBorder="1" applyAlignment="1">
      <x:alignment wrapText="1"/>
    </x:xf>
    <x:xf numFmtId="0" fontId="35" fillId="13" borderId="0" xfId="0" applyNumberFormat="1" applyFont="1" applyFill="1" applyBorder="1" applyAlignment="1">
      <x:alignment horizontal="left" wrapText="1"/>
    </x:xf>
    <x:xf numFmtId="0" fontId="14" fillId="16" borderId="0" xfId="0" applyNumberFormat="1" applyFont="1" applyFill="1" applyBorder="1" applyAlignment="1">
      <x:alignment horizontal="center" vertical="center" wrapText="1"/>
    </x:xf>
    <x:xf numFmtId="0" fontId="14" fillId="20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/>
    <x:xf numFmtId="0" fontId="36" fillId="13" borderId="0" xfId="0" applyNumberFormat="1" applyFont="1" applyFill="1" applyBorder="1"/>
    <x:xf numFmtId="0" fontId="36" fillId="13" borderId="0" xfId="0" applyNumberFormat="1" applyFont="1" applyFill="1" applyBorder="1" applyAlignment="1">
      <x:alignment wrapText="1"/>
    </x:xf>
    <x:xf numFmtId="0" fontId="36" fillId="13" borderId="0" xfId="0" applyNumberFormat="1" applyFont="1" applyFill="1" applyBorder="1" applyAlignment="1">
      <x:alignment horizontal="left" wrapText="1"/>
    </x:xf>
    <x:xf numFmtId="0" fontId="36" fillId="13" borderId="0" xfId="0" applyNumberFormat="1" applyFont="1" applyFill="1" applyBorder="1" applyAlignment="1">
      <x:alignment horizontal="left" vertical="center" wrapText="1"/>
    </x:xf>
    <x:xf numFmtId="0" fontId="13" fillId="17" borderId="0" xfId="0" applyNumberFormat="1" applyFont="1" applyFill="1" applyBorder="1" applyAlignment="1">
      <x:alignment horizontal="left" vertical="center"/>
    </x:xf>
    <x:xf numFmtId="0" fontId="13" fillId="17" borderId="0" xfId="0" applyNumberFormat="1" applyFont="1" applyFill="1" applyBorder="1"/>
    <x:xf numFmtId="0" fontId="17" fillId="17" borderId="2" xfId="0" applyNumberFormat="1" applyFont="1" applyFill="1" applyBorder="1" applyAlignment="1">
      <x:alignment horizontal="center" vertical="center"/>
    </x:xf>
    <x:xf numFmtId="0" fontId="17" fillId="17" borderId="0" xfId="0" applyNumberFormat="1" applyFont="1" applyFill="1" applyBorder="1" applyAlignment="1">
      <x:alignment horizontal="center"/>
    </x:xf>
    <x:xf numFmtId="0" fontId="13" fillId="17" borderId="0" xfId="0" applyNumberFormat="1" applyFont="1" applyFill="1" applyBorder="1" applyAlignment="1">
      <x:alignment wrapText="1"/>
    </x:xf>
    <x:xf numFmtId="0" fontId="17" fillId="17" borderId="0" xfId="0" applyNumberFormat="1" applyFont="1" applyFill="1" applyBorder="1"/>
    <x:xf numFmtId="0" fontId="23" fillId="17" borderId="0" xfId="0" applyNumberFormat="1" applyFont="1" applyFill="1" applyBorder="1" applyAlignment="1">
      <x:alignment horizontal="left" vertical="center"/>
    </x:xf>
    <x:xf numFmtId="0" fontId="23" fillId="17" borderId="0" xfId="0" applyNumberFormat="1" applyFont="1" applyFill="1" applyBorder="1"/>
    <x:xf numFmtId="0" fontId="14" fillId="17" borderId="2" xfId="0" applyNumberFormat="1" applyFont="1" applyFill="1" applyBorder="1" applyAlignment="1">
      <x:alignment horizontal="center" vertical="center"/>
    </x:xf>
    <x:xf numFmtId="0" fontId="14" fillId="17" borderId="0" xfId="0" applyNumberFormat="1" applyFont="1" applyFill="1" applyBorder="1" applyAlignment="1">
      <x:alignment horizontal="center"/>
    </x:xf>
    <x:xf numFmtId="0" fontId="23" fillId="17" borderId="0" xfId="0" applyNumberFormat="1" applyFont="1" applyFill="1" applyBorder="1" applyAlignment="1">
      <x:alignment wrapText="1"/>
    </x:xf>
    <x:xf numFmtId="0" fontId="14" fillId="17" borderId="0" xfId="0" applyNumberFormat="1" applyFont="1" applyFill="1" applyBorder="1"/>
    <x:xf numFmtId="0" fontId="23" fillId="17" borderId="0" xfId="0" applyNumberFormat="1" applyFont="1" applyFill="1" applyBorder="1" applyAlignment="1">
      <x:alignment horizontal="left" vertical="center" wrapText="1"/>
    </x:xf>
    <x:xf numFmtId="0" fontId="14" fillId="17" borderId="2" xfId="0" applyNumberFormat="1" applyFont="1" applyFill="1" applyBorder="1" applyAlignment="1">
      <x:alignment horizontal="center" vertical="center" wrapText="1"/>
    </x:xf>
    <x:xf numFmtId="0" fontId="14" fillId="17" borderId="0" xfId="0" applyNumberFormat="1" applyFont="1" applyFill="1" applyBorder="1" applyAlignment="1">
      <x:alignment horizontal="center" wrapText="1"/>
    </x:xf>
    <x:xf numFmtId="0" fontId="14" fillId="17" borderId="0" xfId="0" applyNumberFormat="1" applyFont="1" applyFill="1" applyBorder="1" applyAlignment="1">
      <x:alignment wrapText="1"/>
    </x:xf>
    <x:xf numFmtId="0" fontId="23" fillId="17" borderId="0" xfId="0" applyNumberFormat="1" applyFont="1" applyFill="1" applyBorder="1" applyAlignment="1">
      <x:alignment horizontal="left" wrapText="1"/>
    </x:xf>
    <x:xf numFmtId="0" fontId="14" fillId="17" borderId="2" xfId="0" applyNumberFormat="1" applyFont="1" applyFill="1" applyBorder="1" applyAlignment="1">
      <x:alignment horizontal="left" vertical="center" wrapText="1"/>
    </x:xf>
    <x:xf numFmtId="0" fontId="14" fillId="17" borderId="0" xfId="0" applyNumberFormat="1" applyFont="1" applyFill="1" applyBorder="1" applyAlignment="1">
      <x:alignment horizontal="left" wrapText="1"/>
    </x:xf>
    <x:xf numFmtId="0" fontId="14" fillId="17" borderId="0" xfId="0" applyNumberFormat="1" applyFont="1" applyFill="1" applyBorder="1" applyAlignment="1">
      <x:alignment horizontal="left" vertical="center" wrapText="1"/>
    </x:xf>
    <x:xf numFmtId="0" fontId="14" fillId="20" borderId="2" xfId="0" applyNumberFormat="1" applyFont="1" applyFill="1" applyBorder="1" applyAlignment="1">
      <x:alignment horizontal="left" vertical="center" wrapText="1"/>
    </x:xf>
    <x:xf numFmtId="0" fontId="23" fillId="20" borderId="0" xfId="0" applyNumberFormat="1" applyFont="1" applyFill="1" applyBorder="1" applyAlignment="1">
      <x:alignment horizontal="left" vertical="center" wrapText="1"/>
    </x:xf>
    <x:xf numFmtId="0" fontId="14" fillId="20" borderId="0" xfId="0" applyNumberFormat="1" applyFont="1" applyFill="1" applyBorder="1" applyAlignment="1">
      <x:alignment horizontal="left" vertical="center" wrapText="1"/>
    </x:xf>
    <x:xf numFmtId="0" fontId="21" fillId="20" borderId="2" xfId="0" applyNumberFormat="1" applyFont="1" applyFill="1" applyBorder="1" applyAlignment="1">
      <x:alignment horizontal="left" vertical="center" wrapText="1"/>
    </x:xf>
    <x:xf numFmtId="0" fontId="21" fillId="20" borderId="0" xfId="0" applyNumberFormat="1" applyFont="1" applyFill="1" applyBorder="1" applyAlignment="1">
      <x:alignment horizontal="left" vertical="center" wrapText="1"/>
    </x:xf>
    <x:xf numFmtId="0" fontId="13" fillId="14" borderId="0" xfId="0" applyNumberFormat="1" applyFont="1" applyFill="1" applyBorder="1" applyAlignment="1">
      <x:alignment horizontal="left" vertical="center"/>
    </x:xf>
    <x:xf numFmtId="0" fontId="13" fillId="14" borderId="0" xfId="0" applyNumberFormat="1" applyFont="1" applyFill="1" applyBorder="1"/>
    <x:xf numFmtId="0" fontId="27" fillId="14" borderId="0" xfId="0" applyNumberFormat="1" applyFont="1" applyFill="1" applyBorder="1" applyAlignment="1">
      <x:alignment horizontal="left" vertical="center"/>
    </x:xf>
    <x:xf numFmtId="0" fontId="27" fillId="14" borderId="0" xfId="0" applyNumberFormat="1" applyFont="1" applyFill="1" applyBorder="1"/>
    <x:xf numFmtId="0" fontId="27" fillId="14" borderId="0" xfId="0" applyNumberFormat="1" applyFont="1" applyFill="1" applyBorder="1" applyAlignment="1">
      <x:alignment wrapText="1"/>
    </x:xf>
    <x:xf numFmtId="0" fontId="27" fillId="14" borderId="0" xfId="0" applyNumberFormat="1" applyFont="1" applyFill="1" applyBorder="1" applyAlignment="1">
      <x:alignment horizontal="left" wrapText="1"/>
    </x:xf>
    <x:xf numFmtId="0" fontId="13" fillId="20" borderId="0" xfId="0" applyNumberFormat="1" applyFont="1" applyFill="1" applyBorder="1"/>
    <x:xf numFmtId="0" fontId="21" fillId="20" borderId="0" xfId="0" applyNumberFormat="1" applyFont="1" applyFill="1" applyBorder="1"/>
    <x:xf numFmtId="0" fontId="21" fillId="20" borderId="0" xfId="0" applyNumberFormat="1" applyFont="1" applyFill="1" applyBorder="1" applyAlignment="1">
      <x:alignment wrapText="1"/>
    </x:xf>
    <x:xf numFmtId="0" fontId="21" fillId="20" borderId="0" xfId="0" applyNumberFormat="1" applyFont="1" applyFill="1" applyBorder="1" applyAlignment="1">
      <x:alignment horizontal="left" wrapText="1"/>
    </x:xf>
    <x:xf numFmtId="201" fontId="13" fillId="17" borderId="0" xfId="0" applyNumberFormat="1" applyFont="1" applyFill="1" applyBorder="1" applyAlignment="1">
      <x:alignment horizontal="left" vertical="center"/>
    </x:xf>
    <x:xf numFmtId="200" fontId="13" fillId="17" borderId="0" xfId="0" applyNumberFormat="1" applyFont="1" applyFill="1" applyBorder="1" applyAlignment="1">
      <x:alignment horizontal="left" vertical="center"/>
    </x:xf>
    <x:xf numFmtId="0" fontId="13" fillId="17" borderId="2" xfId="0" applyNumberFormat="1" applyFont="1" applyFill="1" applyBorder="1" applyAlignment="1">
      <x:alignment horizontal="left" vertical="center"/>
    </x:xf>
    <x:xf numFmtId="201" fontId="23" fillId="17" borderId="0" xfId="0" applyNumberFormat="1" applyFont="1" applyFill="1" applyBorder="1" applyAlignment="1">
      <x:alignment horizontal="left" vertical="center"/>
    </x:xf>
    <x:xf numFmtId="200" fontId="23" fillId="17" borderId="0" xfId="0" applyNumberFormat="1" applyFont="1" applyFill="1" applyBorder="1" applyAlignment="1">
      <x:alignment horizontal="left" vertical="center"/>
    </x:xf>
    <x:xf numFmtId="0" fontId="23" fillId="17" borderId="2" xfId="0" applyNumberFormat="1" applyFont="1" applyFill="1" applyBorder="1" applyAlignment="1">
      <x:alignment horizontal="left" vertical="center"/>
    </x:xf>
    <x:xf numFmtId="201" fontId="23" fillId="17" borderId="0" xfId="0" applyNumberFormat="1" applyFont="1" applyFill="1" applyBorder="1" applyAlignment="1">
      <x:alignment horizontal="left" vertical="center" wrapText="1"/>
    </x:xf>
    <x:xf numFmtId="200" fontId="23" fillId="17" borderId="0" xfId="0" applyNumberFormat="1" applyFont="1" applyFill="1" applyBorder="1" applyAlignment="1">
      <x:alignment horizontal="left" vertical="center" wrapText="1"/>
    </x:xf>
    <x:xf numFmtId="0" fontId="23" fillId="17" borderId="2" xfId="0" applyNumberFormat="1" applyFont="1" applyFill="1" applyBorder="1" applyAlignment="1">
      <x:alignment horizontal="left" vertical="center" wrapText="1"/>
    </x:xf>
    <x:xf numFmtId="202" fontId="13" fillId="15" borderId="0" xfId="0" applyNumberFormat="1" applyFont="1" applyFill="1" applyBorder="1" applyAlignment="1">
      <x:alignment horizontal="left" vertical="center"/>
    </x:xf>
    <x:xf numFmtId="0" fontId="13" fillId="15" borderId="0" xfId="0" applyNumberFormat="1" applyFont="1" applyFill="1" applyBorder="1" applyAlignment="1">
      <x:alignment horizontal="left" vertical="center"/>
    </x:xf>
    <x:xf numFmtId="200" fontId="13" fillId="15" borderId="0" xfId="0" applyNumberFormat="1" applyFont="1" applyFill="1" applyBorder="1" applyAlignment="1">
      <x:alignment horizontal="left" vertical="center"/>
    </x:xf>
    <x:xf numFmtId="200" fontId="13" fillId="15" borderId="0" xfId="0" applyNumberFormat="1" applyFont="1" applyFill="1" applyBorder="1" applyAlignment="1">
      <x:alignment horizontal="center" vertical="center"/>
    </x:xf>
    <x:xf numFmtId="202" fontId="13" fillId="15" borderId="2" xfId="0" applyNumberFormat="1" applyFont="1" applyFill="1" applyBorder="1" applyAlignment="1">
      <x:alignment horizontal="left" vertical="center"/>
    </x:xf>
    <x:xf numFmtId="0" fontId="13" fillId="15" borderId="2" xfId="0" applyNumberFormat="1" applyFont="1" applyFill="1" applyBorder="1" applyAlignment="1">
      <x:alignment horizontal="left" vertical="center"/>
    </x:xf>
    <x:xf numFmtId="200" fontId="13" fillId="15" borderId="2" xfId="0" applyNumberFormat="1" applyFont="1" applyFill="1" applyBorder="1" applyAlignment="1">
      <x:alignment horizontal="left" vertical="center"/>
    </x:xf>
    <x:xf numFmtId="200" fontId="13" fillId="15" borderId="4" xfId="0" applyNumberFormat="1" applyFont="1" applyFill="1" applyBorder="1" applyAlignment="1">
      <x:alignment horizontal="center" vertical="center"/>
    </x:xf>
    <x:xf numFmtId="202" fontId="23" fillId="15" borderId="0" xfId="0" applyNumberFormat="1" applyFont="1" applyFill="1" applyBorder="1" applyAlignment="1">
      <x:alignment horizontal="left" vertical="center"/>
    </x:xf>
    <x:xf numFmtId="0" fontId="23" fillId="15" borderId="0" xfId="0" applyNumberFormat="1" applyFont="1" applyFill="1" applyBorder="1" applyAlignment="1">
      <x:alignment horizontal="left" vertical="center"/>
    </x:xf>
    <x:xf numFmtId="200" fontId="23" fillId="15" borderId="0" xfId="0" applyNumberFormat="1" applyFont="1" applyFill="1" applyBorder="1" applyAlignment="1">
      <x:alignment horizontal="left" vertical="center"/>
    </x:xf>
    <x:xf numFmtId="200" fontId="23" fillId="15" borderId="0" xfId="0" applyNumberFormat="1" applyFont="1" applyFill="1" applyBorder="1" applyAlignment="1">
      <x:alignment horizontal="center" vertical="center"/>
    </x:xf>
    <x:xf numFmtId="202" fontId="23" fillId="15" borderId="2" xfId="0" applyNumberFormat="1" applyFont="1" applyFill="1" applyBorder="1" applyAlignment="1">
      <x:alignment horizontal="left" vertical="center"/>
    </x:xf>
    <x:xf numFmtId="0" fontId="23" fillId="15" borderId="2" xfId="0" applyNumberFormat="1" applyFont="1" applyFill="1" applyBorder="1" applyAlignment="1">
      <x:alignment horizontal="left" vertical="center"/>
    </x:xf>
    <x:xf numFmtId="200" fontId="23" fillId="15" borderId="2" xfId="0" applyNumberFormat="1" applyFont="1" applyFill="1" applyBorder="1" applyAlignment="1">
      <x:alignment horizontal="left" vertical="center"/>
    </x:xf>
    <x:xf numFmtId="200" fontId="23" fillId="15" borderId="4" xfId="0" applyNumberFormat="1" applyFont="1" applyFill="1" applyBorder="1" applyAlignment="1">
      <x:alignment horizontal="center" vertical="center"/>
    </x:xf>
    <x:xf numFmtId="202" fontId="23" fillId="15" borderId="0" xfId="0" applyNumberFormat="1" applyFont="1" applyFill="1" applyBorder="1" applyAlignment="1">
      <x:alignment horizontal="left" vertical="center" wrapText="1"/>
    </x:xf>
    <x:xf numFmtId="200" fontId="23" fillId="15" borderId="0" xfId="0" applyNumberFormat="1" applyFont="1" applyFill="1" applyBorder="1" applyAlignment="1">
      <x:alignment horizontal="left" vertical="center" wrapText="1"/>
    </x:xf>
    <x:xf numFmtId="202" fontId="23" fillId="15" borderId="2" xfId="0" applyNumberFormat="1" applyFont="1" applyFill="1" applyBorder="1" applyAlignment="1">
      <x:alignment horizontal="left" vertical="center" wrapText="1"/>
    </x:xf>
    <x:xf numFmtId="0" fontId="23" fillId="15" borderId="2" xfId="0" applyNumberFormat="1" applyFont="1" applyFill="1" applyBorder="1" applyAlignment="1">
      <x:alignment horizontal="left" vertical="center" wrapText="1"/>
    </x:xf>
    <x:xf numFmtId="200" fontId="23" fillId="15" borderId="2" xfId="0" applyNumberFormat="1" applyFont="1" applyFill="1" applyBorder="1" applyAlignment="1">
      <x:alignment horizontal="left" vertical="center" wrapText="1"/>
    </x:xf>
    <x:xf numFmtId="202" fontId="23" fillId="15" borderId="0" xfId="0" applyNumberFormat="1" applyFont="1" applyFill="1" applyBorder="1" applyAlignment="1">
      <x:alignment horizontal="center" vertical="center" wrapText="1"/>
    </x:xf>
    <x:xf numFmtId="202" fontId="23" fillId="15" borderId="2" xfId="0" applyNumberFormat="1" applyFont="1" applyFill="1" applyBorder="1" applyAlignment="1">
      <x:alignment horizontal="center" vertical="center" wrapText="1"/>
    </x:xf>
    <x:xf numFmtId="0" fontId="23" fillId="15" borderId="2" xfId="0" applyNumberFormat="1" applyFont="1" applyFill="1" applyBorder="1" applyAlignment="1">
      <x:alignment horizontal="center" vertical="center" wrapText="1"/>
    </x:xf>
    <x:xf numFmtId="200" fontId="23" fillId="15" borderId="2" xfId="0" applyNumberFormat="1" applyFont="1" applyFill="1" applyBorder="1" applyAlignment="1">
      <x:alignment horizontal="center" vertical="center" wrapText="1"/>
    </x:xf>
    <x:xf numFmtId="0" fontId="17" fillId="13" borderId="2" xfId="0" applyNumberFormat="1" applyFont="1" applyFill="1" applyBorder="1" applyAlignment="1">
      <x:alignment horizontal="center" vertical="center"/>
    </x:xf>
    <x:xf numFmtId="0" fontId="33" fillId="13" borderId="2" xfId="0" applyNumberFormat="1" applyFont="1" applyFill="1" applyBorder="1" applyAlignment="1">
      <x:alignment horizontal="center" vertical="center"/>
    </x:xf>
    <x:xf numFmtId="0" fontId="33" fillId="13" borderId="0" xfId="0" applyNumberFormat="1" applyFont="1" applyFill="1" applyBorder="1"/>
    <x:xf numFmtId="0" fontId="33" fillId="13" borderId="0" xfId="0" applyNumberFormat="1" applyFont="1" applyFill="1" applyBorder="1" applyAlignment="1">
      <x:alignment wrapText="1"/>
    </x:xf>
    <x:xf numFmtId="0" fontId="33" fillId="13" borderId="0" xfId="0" applyNumberFormat="1" applyFont="1" applyFill="1" applyBorder="1" applyAlignment="1">
      <x:alignment horizontal="left" wrapText="1"/>
    </x:xf>
    <x:xf numFmtId="0" fontId="33" fillId="13" borderId="0" xfId="0" applyNumberFormat="1" applyFont="1" applyFill="1" applyBorder="1" applyAlignment="1">
      <x:alignment horizontal="left" vertical="center" wrapText="1"/>
    </x:xf>
    <x:xf numFmtId="200" fontId="13" fillId="17" borderId="0" xfId="0" applyNumberFormat="1" applyFont="1" applyFill="1" applyBorder="1" applyAlignment="1">
      <x:alignment horizontal="center" vertical="center"/>
    </x:xf>
    <x:xf numFmtId="201" fontId="13" fillId="17" borderId="4" xfId="0" applyNumberFormat="1" applyFont="1" applyFill="1" applyBorder="1" applyAlignment="1">
      <x:alignment horizontal="center" vertical="center"/>
    </x:xf>
    <x:xf numFmtId="200" fontId="14" fillId="17" borderId="0" xfId="0" applyNumberFormat="1" applyFont="1" applyFill="1" applyBorder="1" applyAlignment="1">
      <x:alignment horizontal="center" vertical="center"/>
    </x:xf>
    <x:xf numFmtId="201" fontId="14" fillId="17" borderId="4" xfId="0" applyNumberFormat="1" applyFont="1" applyFill="1" applyBorder="1" applyAlignment="1">
      <x:alignment horizontal="center" vertical="center"/>
    </x:xf>
    <x:xf numFmtId="200" fontId="14" fillId="17" borderId="0" xfId="0" applyNumberFormat="1" applyFont="1" applyFill="1" applyBorder="1" applyAlignment="1">
      <x:alignment horizontal="center" vertical="center" wrapText="1"/>
    </x:xf>
    <x:xf numFmtId="201" fontId="14" fillId="17" borderId="4" xfId="0" applyNumberFormat="1" applyFont="1" applyFill="1" applyBorder="1" applyAlignment="1">
      <x:alignment horizontal="center" vertical="center" wrapText="1"/>
    </x:xf>
    <x:xf numFmtId="200" fontId="14" fillId="17" borderId="0" xfId="0" applyNumberFormat="1" applyFont="1" applyFill="1" applyBorder="1" applyAlignment="1">
      <x:alignment horizontal="left" vertical="center" wrapText="1"/>
    </x:xf>
    <x:xf numFmtId="201" fontId="14" fillId="17" borderId="4" xfId="0" applyNumberFormat="1" applyFont="1" applyFill="1" applyBorder="1" applyAlignment="1">
      <x:alignment horizontal="left" vertical="center" wrapText="1"/>
    </x:xf>
    <x:xf numFmtId="201" fontId="13" fillId="15" borderId="0" xfId="0" applyNumberFormat="1" applyFont="1" applyFill="1" applyBorder="1" applyAlignment="1">
      <x:alignment horizontal="center" vertical="center"/>
    </x:xf>
    <x:xf numFmtId="0" fontId="13" fillId="15" borderId="0" xfId="0" applyNumberFormat="1" applyFont="1" applyFill="1" applyBorder="1" applyAlignment="1">
      <x:alignment horizontal="center" vertical="center"/>
    </x:xf>
    <x:xf numFmtId="201" fontId="13" fillId="15" borderId="4" xfId="0" applyNumberFormat="1" applyFont="1" applyFill="1" applyBorder="1" applyAlignment="1">
      <x:alignment horizontal="center" vertical="center"/>
    </x:xf>
    <x:xf numFmtId="0" fontId="13" fillId="15" borderId="4" xfId="0" applyNumberFormat="1" applyFont="1" applyFill="1" applyBorder="1" applyAlignment="1">
      <x:alignment horizontal="center" vertical="center"/>
    </x:xf>
    <x:xf numFmtId="201" fontId="23" fillId="15" borderId="0" xfId="0" applyNumberFormat="1" applyFont="1" applyFill="1" applyBorder="1" applyAlignment="1">
      <x:alignment horizontal="center" vertical="center"/>
    </x:xf>
    <x:xf numFmtId="0" fontId="23" fillId="15" borderId="0" xfId="0" applyNumberFormat="1" applyFont="1" applyFill="1" applyBorder="1" applyAlignment="1">
      <x:alignment horizontal="center" vertical="center"/>
    </x:xf>
    <x:xf numFmtId="201" fontId="23" fillId="15" borderId="4" xfId="0" applyNumberFormat="1" applyFont="1" applyFill="1" applyBorder="1" applyAlignment="1">
      <x:alignment horizontal="center" vertical="center"/>
    </x:xf>
    <x:xf numFmtId="0" fontId="23" fillId="15" borderId="4" xfId="0" applyNumberFormat="1" applyFont="1" applyFill="1" applyBorder="1" applyAlignment="1">
      <x:alignment horizontal="center" vertical="center"/>
    </x:xf>
    <x:xf numFmtId="0" fontId="17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0" xfId="0" applyNumberFormat="1" applyFont="1" applyFill="1" applyBorder="1" applyAlignment="1">
      <x:alignment wrapText="1"/>
    </x:xf>
    <x:xf numFmtId="0" fontId="14" fillId="15" borderId="0" xfId="0" applyNumberFormat="1" applyFont="1" applyFill="1" applyBorder="1" applyAlignment="1">
      <x:alignment horizontal="center" wrapText="1"/>
    </x:xf>
    <x:xf numFmtId="0" fontId="14" fillId="15" borderId="0" xfId="0" applyNumberFormat="1" applyFont="1" applyFill="1" applyBorder="1" applyAlignment="1">
      <x:alignment horizontal="center" vertical="center" wrapText="1"/>
    </x:xf>
    <x:xf numFmtId="200" fontId="13" fillId="0" borderId="0" xfId="0" applyNumberFormat="1" applyFont="1" applyFill="1" applyBorder="1"/>
    <x:xf numFmtId="200" fontId="33" fillId="13" borderId="0" xfId="0" applyNumberFormat="1" applyFont="1" applyFill="1" applyBorder="1" applyAlignment="1">
      <x:alignment horizontal="left" vertical="center" wrapText="1"/>
    </x:xf>
    <x:xf numFmtId="200" fontId="13" fillId="0" borderId="0" xfId="0" applyNumberFormat="1" applyFont="1" applyFill="1" applyBorder="1" applyAlignment="1">
      <x:alignment wrapText="1"/>
    </x:xf>
    <x:xf numFmtId="200" fontId="13" fillId="0" borderId="0" xfId="0" applyNumberFormat="1" applyFont="1" applyFill="1" applyBorder="1" applyAlignment="1">
      <x:alignment vertical="center" wrapText="1"/>
    </x:xf>
    <x:xf numFmtId="204" fontId="14" fillId="17" borderId="4" xfId="0" applyNumberFormat="1" applyFont="1" applyFill="1" applyBorder="1" applyAlignment="1">
      <x:alignment horizontal="left" vertical="center" wrapText="1"/>
    </x:xf>
    <x:xf numFmtId="200" fontId="33" fillId="13" borderId="2" xfId="0" applyNumberFormat="1" applyFont="1" applyFill="1" applyBorder="1" applyAlignment="1">
      <x:alignment horizontal="left" vertical="center" wrapText="1"/>
    </x:xf>
    <x:xf numFmtId="200" fontId="14" fillId="17" borderId="4" xfId="0" applyNumberFormat="1" applyFont="1" applyFill="1" applyBorder="1" applyAlignment="1">
      <x:alignment horizontal="left" vertical="center" wrapText="1"/>
    </x:xf>
    <x:xf numFmtId="201" fontId="13" fillId="0" borderId="0" xfId="0" applyNumberFormat="1" applyFont="1" applyFill="1" applyBorder="1"/>
    <x:xf numFmtId="201" fontId="33" fillId="13" borderId="0" xfId="0" applyNumberFormat="1" applyFont="1" applyFill="1" applyBorder="1" applyAlignment="1">
      <x:alignment horizontal="left" vertical="center" wrapText="1"/>
    </x:xf>
    <x:xf numFmtId="201" fontId="13" fillId="0" borderId="0" xfId="0" applyNumberFormat="1" applyFont="1" applyFill="1" applyBorder="1" applyAlignment="1">
      <x:alignment wrapText="1"/>
    </x:xf>
    <x:xf numFmtId="201" fontId="13" fillId="0" borderId="0" xfId="0" applyNumberFormat="1" applyFont="1" applyFill="1" applyBorder="1" applyAlignment="1">
      <x:alignment vertical="center" wrapText="1"/>
    </x:xf>
    <x:xf numFmtId="0" fontId="17" fillId="17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horizontal="left" vertical="center" wrapText="1"/>
    </x:xf>
    <x:xf numFmtId="0" fontId="21" fillId="16" borderId="0" xfId="0" applyNumberFormat="1" applyFont="1" applyFill="1" applyBorder="1" applyAlignment="1">
      <x:alignment horizontal="left" vertical="center" wrapText="1"/>
    </x:xf>
    <x:xf numFmtId="0" fontId="14" fillId="16" borderId="2" xfId="0" applyNumberFormat="1" applyFont="1" applyFill="1" applyBorder="1" applyAlignment="1">
      <x:alignment horizontal="left" vertical="center" wrapText="1"/>
    </x:xf>
    <x:xf numFmtId="0" fontId="21" fillId="16" borderId="2" xfId="0" applyNumberFormat="1" applyFont="1" applyFill="1" applyBorder="1" applyAlignment="1">
      <x:alignment horizontal="left" vertical="center" wrapText="1"/>
    </x:xf>
    <x:xf numFmtId="0" fontId="37" fillId="17" borderId="0" xfId="0" applyNumberFormat="1" applyFont="1" applyFill="1" applyBorder="1"/>
    <x:xf numFmtId="0" fontId="37" fillId="17" borderId="0" xfId="0" applyNumberFormat="1" applyFont="1" applyFill="1" applyBorder="1" applyAlignment="1">
      <x:alignment wrapText="1"/>
    </x:xf>
    <x:xf numFmtId="0" fontId="37" fillId="17" borderId="0" xfId="0" applyNumberFormat="1" applyFont="1" applyFill="1" applyBorder="1" applyAlignment="1">
      <x:alignment horizontal="left" wrapText="1"/>
    </x:xf>
    <x:xf numFmtId="0" fontId="37" fillId="17" borderId="0" xfId="0" applyNumberFormat="1" applyFont="1" applyFill="1" applyBorder="1" applyAlignment="1">
      <x:alignment horizontal="left" vertical="center" wrapText="1"/>
    </x:xf>
    <x:xf numFmtId="0" fontId="19" fillId="3" borderId="0" xfId="0" applyNumberFormat="1" applyFont="1" applyFill="1" applyBorder="1" applyAlignment="1">
      <x:alignment horizontal="left" vertical="center" wrapText="1"/>
    </x:xf>
    <x:xf numFmtId="0" fontId="25" fillId="3" borderId="0" xfId="0" applyNumberFormat="1" applyFont="1" applyFill="1" applyBorder="1" applyAlignment="1">
      <x:alignment horizontal="left" vertical="center" wrapText="1"/>
    </x:xf>
    <x:xf numFmtId="0" fontId="26" fillId="3" borderId="0" xfId="0" applyNumberFormat="1" applyFont="1" applyFill="1" applyBorder="1"/>
    <x:xf numFmtId="0" fontId="27" fillId="3" borderId="0" xfId="0" applyNumberFormat="1" applyFont="1" applyFill="1" applyBorder="1" applyAlignment="1">
      <x:alignment horizontal="left" vertical="center" wrapText="1"/>
    </x:xf>
    <x:xf numFmtId="0" fontId="26" fillId="3" borderId="0" xfId="0" applyNumberFormat="1" applyFont="1" applyFill="1" applyBorder="1" applyAlignment="1">
      <x:alignment wrapText="1"/>
    </x:xf>
    <x:xf numFmtId="0" fontId="26" fillId="3" borderId="0" xfId="0" applyNumberFormat="1" applyFont="1" applyFill="1" applyBorder="1" applyAlignment="1">
      <x:alignment horizontal="left" wrapText="1"/>
    </x:xf>
    <x:xf numFmtId="0" fontId="26" fillId="3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/>
    <x:xf numFmtId="203" fontId="0" fillId="6" borderId="0" xfId="0" applyNumberFormat="1" applyFont="1" applyFill="1" applyBorder="1"/>
    <x:xf numFmtId="0" fontId="28" fillId="6" borderId="0" xfId="0" applyNumberFormat="1" applyFont="1" applyFill="1" applyBorder="1"/>
    <x:xf numFmtId="0" fontId="29" fillId="6" borderId="0" xfId="0" applyNumberFormat="1" applyFont="1" applyFill="1" applyBorder="1"/>
    <x:xf numFmtId="200" fontId="29" fillId="6" borderId="0" xfId="0" applyNumberFormat="1" applyFont="1" applyFill="1" applyBorder="1"/>
    <x:xf numFmtId="201" fontId="29" fillId="6" borderId="0" xfId="0" applyNumberFormat="1" applyFont="1" applyFill="1" applyBorder="1"/>
    <x:xf numFmtId="203" fontId="29" fillId="6" borderId="0" xfId="0" applyNumberFormat="1" applyFont="1" applyFill="1" applyBorder="1"/>
    <x:xf numFmtId="0" fontId="28" fillId="6" borderId="0" xfId="0" applyNumberFormat="1" applyFont="1" applyFill="1" applyBorder="1" applyAlignment="1">
      <x:alignment wrapText="1"/>
    </x:xf>
    <x:xf numFmtId="0" fontId="29" fillId="6" borderId="0" xfId="0" applyNumberFormat="1" applyFont="1" applyFill="1" applyBorder="1" applyAlignment="1">
      <x:alignment wrapText="1"/>
    </x:xf>
    <x:xf numFmtId="200" fontId="29" fillId="6" borderId="0" xfId="0" applyNumberFormat="1" applyFont="1" applyFill="1" applyBorder="1" applyAlignment="1">
      <x:alignment wrapText="1"/>
    </x:xf>
    <x:xf numFmtId="201" fontId="29" fillId="6" borderId="0" xfId="0" applyNumberFormat="1" applyFont="1" applyFill="1" applyBorder="1" applyAlignment="1">
      <x:alignment wrapText="1"/>
    </x:xf>
    <x:xf numFmtId="203" fontId="29" fillId="6" borderId="0" xfId="0" applyNumberFormat="1" applyFont="1" applyFill="1" applyBorder="1" applyAlignment="1">
      <x:alignment wrapText="1"/>
    </x:xf>
    <x:xf numFmtId="0" fontId="28" fillId="6" borderId="0" xfId="0" applyNumberFormat="1" applyFont="1" applyFill="1" applyBorder="1" applyAlignment="1">
      <x:alignment horizontal="center" wrapText="1"/>
    </x:xf>
    <x:xf numFmtId="0" fontId="29" fillId="6" borderId="0" xfId="0" applyNumberFormat="1" applyFont="1" applyFill="1" applyBorder="1" applyAlignment="1">
      <x:alignment horizontal="center" wrapText="1"/>
    </x:xf>
    <x:xf numFmtId="200" fontId="29" fillId="6" borderId="0" xfId="0" applyNumberFormat="1" applyFont="1" applyFill="1" applyBorder="1" applyAlignment="1">
      <x:alignment horizontal="center" wrapText="1"/>
    </x:xf>
    <x:xf numFmtId="201" fontId="29" fillId="6" borderId="0" xfId="0" applyNumberFormat="1" applyFont="1" applyFill="1" applyBorder="1" applyAlignment="1">
      <x:alignment horizontal="center" wrapText="1"/>
    </x:xf>
    <x:xf numFmtId="203" fontId="29" fillId="6" borderId="0" xfId="0" applyNumberFormat="1" applyFont="1" applyFill="1" applyBorder="1" applyAlignment="1">
      <x:alignment horizontal="center" wrapText="1"/>
    </x:xf>
    <x:xf numFmtId="0" fontId="28" fillId="6" borderId="0" xfId="0" applyNumberFormat="1" applyFont="1" applyFill="1" applyBorder="1" applyAlignment="1">
      <x:alignment horizontal="center" vertical="center" wrapText="1"/>
    </x:xf>
    <x:xf numFmtId="0" fontId="29" fillId="6" borderId="0" xfId="0" applyNumberFormat="1" applyFont="1" applyFill="1" applyBorder="1" applyAlignment="1">
      <x:alignment horizontal="center" vertical="center" wrapText="1"/>
    </x:xf>
    <x:xf numFmtId="200" fontId="29" fillId="6" borderId="0" xfId="0" applyNumberFormat="1" applyFont="1" applyFill="1" applyBorder="1" applyAlignment="1">
      <x:alignment horizontal="center" vertical="center" wrapText="1"/>
    </x:xf>
    <x:xf numFmtId="201" fontId="29" fillId="6" borderId="0" xfId="0" applyNumberFormat="1" applyFont="1" applyFill="1" applyBorder="1" applyAlignment="1">
      <x:alignment horizontal="center" vertical="center" wrapText="1"/>
    </x:xf>
    <x:xf numFmtId="203" fontId="29" fillId="6" borderId="0" xfId="0" applyNumberFormat="1" applyFont="1" applyFill="1" applyBorder="1" applyAlignment="1">
      <x:alignment horizontal="center" vertical="center" wrapText="1"/>
    </x:xf>
    <x:xf numFmtId="0" fontId="21" fillId="5" borderId="0" xfId="0" applyNumberFormat="1" applyFont="1" applyFill="1" applyBorder="1" applyAlignment="1">
      <x:alignment horizontal="center" vertical="center" wrapText="1"/>
    </x:xf>
    <x:xf numFmtId="0" fontId="23" fillId="6" borderId="0" xfId="0" applyNumberFormat="1" applyFont="1" applyFill="1" applyBorder="1" applyAlignment="1">
      <x:alignment horizontal="center" vertical="center" wrapText="1"/>
    </x:xf>
    <x:xf numFmtId="200" fontId="23" fillId="6" borderId="0" xfId="0" applyNumberFormat="1" applyFont="1" applyFill="1" applyBorder="1" applyAlignment="1">
      <x:alignment horizontal="center" vertical="center" wrapText="1"/>
    </x:xf>
    <x:xf numFmtId="201" fontId="23" fillId="6" borderId="0" xfId="0" applyNumberFormat="1" applyFont="1" applyFill="1" applyBorder="1" applyAlignment="1">
      <x:alignment horizontal="center" vertical="center" wrapText="1"/>
    </x:xf>
    <x:xf numFmtId="0" fontId="23" fillId="6" borderId="4" xfId="0" applyNumberFormat="1" applyFont="1" applyFill="1" applyBorder="1" applyAlignment="1">
      <x:alignment horizontal="center" vertical="center" wrapText="1"/>
    </x:xf>
    <x:xf numFmtId="200" fontId="23" fillId="6" borderId="4" xfId="0" applyNumberFormat="1" applyFont="1" applyFill="1" applyBorder="1" applyAlignment="1">
      <x:alignment horizontal="center" vertical="center" wrapText="1"/>
    </x:xf>
    <x:xf numFmtId="201" fontId="23" fillId="6" borderId="4" xfId="0" applyNumberFormat="1" applyFont="1" applyFill="1" applyBorder="1" applyAlignment="1">
      <x:alignment horizontal="center" vertical="center" wrapText="1"/>
    </x:xf>
    <x:xf numFmtId="0" fontId="23" fillId="6" borderId="0" xfId="0" applyNumberFormat="1" applyFont="1" applyFill="1" applyBorder="1" applyAlignment="1">
      <x:alignment horizontal="left" vertical="center" wrapText="1"/>
    </x:xf>
    <x:xf numFmtId="0" fontId="23" fillId="6" borderId="4" xfId="0" applyNumberFormat="1" applyFont="1" applyFill="1" applyBorder="1" applyAlignment="1">
      <x:alignment horizontal="left" vertical="center" wrapText="1"/>
    </x:xf>
    <x:xf numFmtId="0" fontId="23" fillId="6" borderId="0" xfId="0" applyNumberFormat="1" applyFont="1" applyFill="1" applyBorder="1" applyAlignment="1">
      <x:alignment horizontal="center" wrapText="1"/>
    </x:xf>
    <x:xf numFmtId="0" fontId="14" fillId="5" borderId="0" xfId="0" applyNumberFormat="1" applyFont="1" applyFill="1" applyBorder="1" applyAlignment="1">
      <x:alignment horizontal="center" vertical="center" wrapText="1"/>
    </x:xf>
    <x:xf numFmtId="0" fontId="14" fillId="5" borderId="2" xfId="0" applyNumberFormat="1" applyFont="1" applyFill="1" applyBorder="1" applyAlignment="1">
      <x:alignment horizontal="left" vertical="center" wrapText="1"/>
    </x:xf>
    <x:xf numFmtId="0" fontId="23" fillId="5" borderId="0" xfId="0" applyNumberFormat="1" applyFont="1" applyFill="1" applyBorder="1" applyAlignment="1">
      <x:alignment horizontal="left" vertical="center" wrapText="1"/>
    </x:xf>
    <x:xf numFmtId="0" fontId="14" fillId="5" borderId="0" xfId="0" applyNumberFormat="1" applyFont="1" applyFill="1" applyBorder="1" applyAlignment="1">
      <x:alignment horizontal="left" vertical="center" wrapText="1"/>
    </x:xf>
    <x:xf numFmtId="0" fontId="21" fillId="5" borderId="2" xfId="0" applyNumberFormat="1" applyFont="1" applyFill="1" applyBorder="1" applyAlignment="1">
      <x:alignment horizontal="left" vertical="center" wrapText="1"/>
    </x:xf>
    <x:xf numFmtId="0" fontId="21" fillId="5" borderId="0" xfId="0" applyNumberFormat="1" applyFont="1" applyFill="1" applyBorder="1" applyAlignment="1">
      <x:alignment horizontal="left" vertical="center" wrapText="1"/>
    </x:xf>
    <x:xf numFmtId="0" fontId="13" fillId="3" borderId="0" xfId="0" applyNumberFormat="1" applyFont="1" applyFill="1" applyBorder="1"/>
    <x:xf numFmtId="0" fontId="27" fillId="3" borderId="0" xfId="0" applyNumberFormat="1" applyFont="1" applyFill="1" applyBorder="1" applyAlignment="1">
      <x:alignment horizontal="left" vertical="center"/>
    </x:xf>
    <x:xf numFmtId="0" fontId="27" fillId="3" borderId="0" xfId="0" applyNumberFormat="1" applyFont="1" applyFill="1" applyBorder="1"/>
    <x:xf numFmtId="0" fontId="27" fillId="3" borderId="0" xfId="0" applyNumberFormat="1" applyFont="1" applyFill="1" applyBorder="1" applyAlignment="1">
      <x:alignment wrapText="1"/>
    </x:xf>
    <x:xf numFmtId="0" fontId="27" fillId="3" borderId="0" xfId="0" applyNumberFormat="1" applyFont="1" applyFill="1" applyBorder="1" applyAlignment="1">
      <x:alignment horizontal="left" wrapText="1"/>
    </x:xf>
    <x:xf numFmtId="0" fontId="13" fillId="5" borderId="0" xfId="0" applyNumberFormat="1" applyFont="1" applyFill="1" applyBorder="1"/>
    <x:xf numFmtId="0" fontId="21" fillId="5" borderId="0" xfId="0" applyNumberFormat="1" applyFont="1" applyFill="1" applyBorder="1"/>
    <x:xf numFmtId="0" fontId="21" fillId="5" borderId="0" xfId="0" applyNumberFormat="1" applyFont="1" applyFill="1" applyBorder="1" applyAlignment="1">
      <x:alignment wrapText="1"/>
    </x:xf>
    <x:xf numFmtId="0" fontId="21" fillId="5" borderId="0" xfId="0" applyNumberFormat="1" applyFont="1" applyFill="1" applyBorder="1" applyAlignment="1">
      <x:alignment horizontal="left" wrapText="1"/>
    </x:xf>
    <x:xf numFmtId="202" fontId="13" fillId="6" borderId="0" xfId="0" applyNumberFormat="1" applyFont="1" applyFill="1" applyBorder="1" applyAlignment="1">
      <x:alignment horizontal="left" vertical="center"/>
    </x:xf>
    <x:xf numFmtId="0" fontId="13" fillId="6" borderId="0" xfId="0" applyNumberFormat="1" applyFont="1" applyFill="1" applyBorder="1" applyAlignment="1">
      <x:alignment horizontal="left" vertical="center"/>
    </x:xf>
    <x:xf numFmtId="200" fontId="13" fillId="6" borderId="0" xfId="0" applyNumberFormat="1" applyFont="1" applyFill="1" applyBorder="1" applyAlignment="1">
      <x:alignment horizontal="left" vertical="center"/>
    </x:xf>
    <x:xf numFmtId="200" fontId="13" fillId="6" borderId="0" xfId="0" applyNumberFormat="1" applyFont="1" applyFill="1" applyBorder="1" applyAlignment="1">
      <x:alignment horizontal="center" vertical="center"/>
    </x:xf>
    <x:xf numFmtId="202" fontId="13" fillId="6" borderId="2" xfId="0" applyNumberFormat="1" applyFont="1" applyFill="1" applyBorder="1" applyAlignment="1">
      <x:alignment horizontal="left" vertical="center"/>
    </x:xf>
    <x:xf numFmtId="0" fontId="13" fillId="6" borderId="2" xfId="0" applyNumberFormat="1" applyFont="1" applyFill="1" applyBorder="1" applyAlignment="1">
      <x:alignment horizontal="left" vertical="center"/>
    </x:xf>
    <x:xf numFmtId="200" fontId="13" fillId="6" borderId="2" xfId="0" applyNumberFormat="1" applyFont="1" applyFill="1" applyBorder="1" applyAlignment="1">
      <x:alignment horizontal="left" vertical="center"/>
    </x:xf>
    <x:xf numFmtId="200" fontId="13" fillId="6" borderId="4" xfId="0" applyNumberFormat="1" applyFont="1" applyFill="1" applyBorder="1" applyAlignment="1">
      <x:alignment horizontal="center" vertical="center"/>
    </x:xf>
    <x:xf numFmtId="202" fontId="23" fillId="6" borderId="0" xfId="0" applyNumberFormat="1" applyFont="1" applyFill="1" applyBorder="1" applyAlignment="1">
      <x:alignment horizontal="left" vertical="center"/>
    </x:xf>
    <x:xf numFmtId="0" fontId="23" fillId="6" borderId="0" xfId="0" applyNumberFormat="1" applyFont="1" applyFill="1" applyBorder="1" applyAlignment="1">
      <x:alignment horizontal="left" vertical="center"/>
    </x:xf>
    <x:xf numFmtId="200" fontId="23" fillId="6" borderId="0" xfId="0" applyNumberFormat="1" applyFont="1" applyFill="1" applyBorder="1" applyAlignment="1">
      <x:alignment horizontal="left" vertical="center"/>
    </x:xf>
    <x:xf numFmtId="200" fontId="23" fillId="6" borderId="0" xfId="0" applyNumberFormat="1" applyFont="1" applyFill="1" applyBorder="1" applyAlignment="1">
      <x:alignment horizontal="center" vertical="center"/>
    </x:xf>
    <x:xf numFmtId="202" fontId="23" fillId="6" borderId="2" xfId="0" applyNumberFormat="1" applyFont="1" applyFill="1" applyBorder="1" applyAlignment="1">
      <x:alignment horizontal="left" vertical="center"/>
    </x:xf>
    <x:xf numFmtId="0" fontId="23" fillId="6" borderId="2" xfId="0" applyNumberFormat="1" applyFont="1" applyFill="1" applyBorder="1" applyAlignment="1">
      <x:alignment horizontal="left" vertical="center"/>
    </x:xf>
    <x:xf numFmtId="200" fontId="23" fillId="6" borderId="2" xfId="0" applyNumberFormat="1" applyFont="1" applyFill="1" applyBorder="1" applyAlignment="1">
      <x:alignment horizontal="left" vertical="center"/>
    </x:xf>
    <x:xf numFmtId="200" fontId="23" fillId="6" borderId="4" xfId="0" applyNumberFormat="1" applyFont="1" applyFill="1" applyBorder="1" applyAlignment="1">
      <x:alignment horizontal="center" vertical="center"/>
    </x:xf>
    <x:xf numFmtId="202" fontId="23" fillId="6" borderId="0" xfId="0" applyNumberFormat="1" applyFont="1" applyFill="1" applyBorder="1" applyAlignment="1">
      <x:alignment horizontal="left" vertical="center" wrapText="1"/>
    </x:xf>
    <x:xf numFmtId="200" fontId="23" fillId="6" borderId="0" xfId="0" applyNumberFormat="1" applyFont="1" applyFill="1" applyBorder="1" applyAlignment="1">
      <x:alignment horizontal="left" vertical="center" wrapText="1"/>
    </x:xf>
    <x:xf numFmtId="202" fontId="23" fillId="6" borderId="2" xfId="0" applyNumberFormat="1" applyFont="1" applyFill="1" applyBorder="1" applyAlignment="1">
      <x:alignment horizontal="left" vertical="center" wrapText="1"/>
    </x:xf>
    <x:xf numFmtId="0" fontId="23" fillId="6" borderId="2" xfId="0" applyNumberFormat="1" applyFont="1" applyFill="1" applyBorder="1" applyAlignment="1">
      <x:alignment horizontal="left" vertical="center" wrapText="1"/>
    </x:xf>
    <x:xf numFmtId="200" fontId="23" fillId="6" borderId="2" xfId="0" applyNumberFormat="1" applyFont="1" applyFill="1" applyBorder="1" applyAlignment="1">
      <x:alignment horizontal="left" vertical="center" wrapText="1"/>
    </x:xf>
    <x:xf numFmtId="202" fontId="23" fillId="6" borderId="0" xfId="0" applyNumberFormat="1" applyFont="1" applyFill="1" applyBorder="1" applyAlignment="1">
      <x:alignment horizontal="center" vertical="center" wrapText="1"/>
    </x:xf>
    <x:xf numFmtId="202" fontId="23" fillId="6" borderId="2" xfId="0" applyNumberFormat="1" applyFont="1" applyFill="1" applyBorder="1" applyAlignment="1">
      <x:alignment horizontal="center" vertical="center" wrapText="1"/>
    </x:xf>
    <x:xf numFmtId="0" fontId="23" fillId="6" borderId="2" xfId="0" applyNumberFormat="1" applyFont="1" applyFill="1" applyBorder="1" applyAlignment="1">
      <x:alignment horizontal="center" vertical="center" wrapText="1"/>
    </x:xf>
    <x:xf numFmtId="200" fontId="23" fillId="6" borderId="2" xfId="0" applyNumberFormat="1" applyFont="1" applyFill="1" applyBorder="1" applyAlignment="1">
      <x:alignment horizontal="center" vertical="center" wrapText="1"/>
    </x:xf>
    <x:xf numFmtId="201" fontId="13" fillId="6" borderId="0" xfId="0" applyNumberFormat="1" applyFont="1" applyFill="1" applyBorder="1" applyAlignment="1">
      <x:alignment horizontal="center" vertical="center"/>
    </x:xf>
    <x:xf numFmtId="0" fontId="13" fillId="6" borderId="0" xfId="0" applyNumberFormat="1" applyFont="1" applyFill="1" applyBorder="1" applyAlignment="1">
      <x:alignment horizontal="center" vertical="center"/>
    </x:xf>
    <x:xf numFmtId="201" fontId="13" fillId="6" borderId="4" xfId="0" applyNumberFormat="1" applyFont="1" applyFill="1" applyBorder="1" applyAlignment="1">
      <x:alignment horizontal="center" vertical="center"/>
    </x:xf>
    <x:xf numFmtId="0" fontId="13" fillId="6" borderId="4" xfId="0" applyNumberFormat="1" applyFont="1" applyFill="1" applyBorder="1" applyAlignment="1">
      <x:alignment horizontal="center" vertical="center"/>
    </x:xf>
    <x:xf numFmtId="201" fontId="23" fillId="6" borderId="0" xfId="0" applyNumberFormat="1" applyFont="1" applyFill="1" applyBorder="1" applyAlignment="1">
      <x:alignment horizontal="center" vertical="center"/>
    </x:xf>
    <x:xf numFmtId="0" fontId="23" fillId="6" borderId="0" xfId="0" applyNumberFormat="1" applyFont="1" applyFill="1" applyBorder="1" applyAlignment="1">
      <x:alignment horizontal="center" vertical="center"/>
    </x:xf>
    <x:xf numFmtId="201" fontId="23" fillId="6" borderId="4" xfId="0" applyNumberFormat="1" applyFont="1" applyFill="1" applyBorder="1" applyAlignment="1">
      <x:alignment horizontal="center" vertical="center"/>
    </x:xf>
    <x:xf numFmtId="0" fontId="23" fillId="6" borderId="4" xfId="0" applyNumberFormat="1" applyFont="1" applyFill="1" applyBorder="1" applyAlignment="1">
      <x:alignment horizontal="center" vertical="center"/>
    </x:xf>
    <x:xf numFmtId="0" fontId="17" fillId="6" borderId="0" xfId="0" applyNumberFormat="1" applyFont="1" applyFill="1" applyBorder="1"/>
    <x:xf numFmtId="0" fontId="14" fillId="6" borderId="0" xfId="0" applyNumberFormat="1" applyFont="1" applyFill="1" applyBorder="1"/>
    <x:xf numFmtId="0" fontId="14" fillId="6" borderId="0" xfId="0" applyNumberFormat="1" applyFont="1" applyFill="1" applyBorder="1" applyAlignment="1">
      <x:alignment wrapText="1"/>
    </x:xf>
    <x:xf numFmtId="0" fontId="14" fillId="6" borderId="0" xfId="0" applyNumberFormat="1" applyFont="1" applyFill="1" applyBorder="1" applyAlignment="1">
      <x:alignment horizontal="center" wrapText="1"/>
    </x:xf>
    <x:xf numFmtId="0" fontId="14" fillId="6" borderId="0" xfId="0" applyNumberFormat="1" applyFont="1" applyFill="1" applyBorder="1" applyAlignment="1">
      <x:alignment horizontal="center" vertical="center" wrapText="1"/>
    </x:xf>
    <x:xf numFmtId="0" fontId="24" fillId="21" borderId="0" xfId="0" applyNumberFormat="1" applyFont="1" applyFill="1" applyBorder="1" applyAlignment="1">
      <x:alignment horizontal="left" vertical="center" wrapText="1"/>
    </x:xf>
    <x:xf numFmtId="0" fontId="25" fillId="21" borderId="0" xfId="0" applyNumberFormat="1" applyFont="1" applyFill="1" applyBorder="1" applyAlignment="1">
      <x:alignment horizontal="left" vertical="center" wrapText="1"/>
    </x:xf>
    <x:xf numFmtId="0" fontId="35" fillId="21" borderId="0" xfId="0" applyNumberFormat="1" applyFont="1" applyFill="1" applyBorder="1" applyAlignment="1">
      <x:alignment horizontal="left" vertical="center" wrapText="1"/>
    </x:xf>
    <x:xf numFmtId="0" fontId="38" fillId="21" borderId="0" xfId="0" applyNumberFormat="1" applyFont="1" applyFill="1" applyBorder="1" applyAlignment="1">
      <x:alignment horizontal="left" vertical="center" wrapText="1"/>
    </x:xf>
    <x:xf numFmtId="0" fontId="27" fillId="22" borderId="0" xfId="0" applyNumberFormat="1" applyFont="1" applyFill="1" applyBorder="1" applyAlignment="1">
      <x:alignment horizontal="left" vertical="center" wrapText="1"/>
    </x:xf>
    <x:xf numFmtId="0" fontId="39" fillId="22" borderId="0" xfId="0" applyNumberFormat="1" applyFont="1" applyFill="1" applyBorder="1" applyAlignment="1">
      <x:alignment horizontal="left" vertical="center" wrapText="1"/>
    </x:xf>
    <x:xf numFmtId="0" fontId="30" fillId="23" borderId="0" xfId="0" applyNumberFormat="1" applyFont="1" applyFill="1" applyBorder="1" applyAlignment="1">
      <x:alignment horizontal="center" vertical="center" wrapText="1"/>
    </x:xf>
    <x:xf numFmtId="0" fontId="21" fillId="23" borderId="0" xfId="0" applyNumberFormat="1" applyFont="1" applyFill="1" applyBorder="1" applyAlignment="1">
      <x:alignment horizontal="center" vertical="center" wrapText="1"/>
    </x:xf>
    <x:xf numFmtId="200" fontId="31" fillId="24" borderId="0" xfId="0" applyNumberFormat="1" applyFont="1" applyFill="1" applyBorder="1" applyAlignment="1">
      <x:alignment horizontal="center" vertical="center" wrapText="1"/>
    </x:xf>
    <x:xf numFmtId="203" fontId="31" fillId="24" borderId="0" xfId="0" applyNumberFormat="1" applyFont="1" applyFill="1" applyBorder="1" applyAlignment="1">
      <x:alignment horizontal="center" vertical="center" wrapText="1"/>
    </x:xf>
    <x:xf numFmtId="201" fontId="31" fillId="24" borderId="0" xfId="0" applyNumberFormat="1" applyFont="1" applyFill="1" applyBorder="1" applyAlignment="1">
      <x:alignment horizontal="center" vertical="center" wrapText="1"/>
    </x:xf>
    <x:xf numFmtId="0" fontId="33" fillId="21" borderId="2" xfId="0" applyNumberFormat="1" applyFont="1" applyFill="1" applyBorder="1" applyAlignment="1">
      <x:alignment horizontal="left" vertical="center" wrapText="1"/>
    </x:xf>
    <x:xf numFmtId="0" fontId="30" fillId="21" borderId="2" xfId="0" applyNumberFormat="1" applyFont="1" applyFill="1" applyBorder="1" applyAlignment="1">
      <x:alignment horizontal="left" vertical="center" wrapText="1"/>
    </x:xf>
    <x:xf numFmtId="0" fontId="17" fillId="25" borderId="0" xfId="0" applyNumberFormat="1" applyFont="1" applyFill="1" applyBorder="1" applyAlignment="1">
      <x:alignment horizontal="left" vertical="center" wrapText="1"/>
    </x:xf>
    <x:xf numFmtId="0" fontId="14" fillId="25" borderId="0" xfId="0" applyNumberFormat="1" applyFont="1" applyFill="1" applyBorder="1" applyAlignment="1">
      <x:alignment horizontal="left" vertical="center" wrapText="1"/>
    </x:xf>
    <x:xf numFmtId="0" fontId="17" fillId="26" borderId="0" xfId="0" applyNumberFormat="1" applyFont="1" applyFill="1" applyBorder="1" applyAlignment="1">
      <x:alignment horizontal="left" vertical="center" wrapText="1"/>
    </x:xf>
    <x:xf numFmtId="0" fontId="14" fillId="26" borderId="0" xfId="0" applyNumberFormat="1" applyFont="1" applyFill="1" applyBorder="1" applyAlignment="1">
      <x:alignment horizontal="left" vertical="center" wrapText="1"/>
    </x:xf>
    <x:xf numFmtId="0" fontId="21" fillId="27" borderId="0" xfId="0" applyNumberFormat="1" applyFont="1" applyFill="1" applyBorder="1" applyAlignment="1">
      <x:alignment horizontal="center" vertical="center" wrapText="1"/>
    </x:xf>
    <x:xf numFmtId="0" fontId="23" fillId="28" borderId="0" xfId="0" applyNumberFormat="1" applyFont="1" applyFill="1" applyBorder="1" applyAlignment="1">
      <x:alignment horizontal="left" vertical="center" wrapText="1"/>
    </x:xf>
    <x:xf numFmtId="200" fontId="23" fillId="28" borderId="0" xfId="0" applyNumberFormat="1" applyFont="1" applyFill="1" applyBorder="1" applyAlignment="1">
      <x:alignment horizontal="center" vertical="center" wrapText="1"/>
    </x:xf>
    <x:xf numFmtId="201" fontId="23" fillId="28" borderId="0" xfId="0" applyNumberFormat="1" applyFont="1" applyFill="1" applyBorder="1" applyAlignment="1">
      <x:alignment horizontal="center" vertical="center" wrapText="1"/>
    </x:xf>
    <x:xf numFmtId="0" fontId="23" fillId="28" borderId="0" xfId="0" applyNumberFormat="1" applyFont="1" applyFill="1" applyBorder="1" applyAlignment="1">
      <x:alignment horizontal="center" vertical="center" wrapText="1"/>
    </x:xf>
    <x:xf numFmtId="0" fontId="23" fillId="28" borderId="4" xfId="0" applyNumberFormat="1" applyFont="1" applyFill="1" applyBorder="1" applyAlignment="1">
      <x:alignment horizontal="left" vertical="center" wrapText="1"/>
    </x:xf>
    <x:xf numFmtId="200" fontId="23" fillId="28" borderId="4" xfId="0" applyNumberFormat="1" applyFont="1" applyFill="1" applyBorder="1" applyAlignment="1">
      <x:alignment horizontal="center" vertical="center" wrapText="1"/>
    </x:xf>
    <x:xf numFmtId="201" fontId="23" fillId="28" borderId="4" xfId="0" applyNumberFormat="1" applyFont="1" applyFill="1" applyBorder="1" applyAlignment="1">
      <x:alignment horizontal="center" vertical="center" wrapText="1"/>
    </x:xf>
    <x:xf numFmtId="0" fontId="23" fillId="28" borderId="4" xfId="0" applyNumberFormat="1" applyFont="1" applyFill="1" applyBorder="1" applyAlignment="1">
      <x:alignment horizontal="center" vertical="center" wrapText="1"/>
    </x:xf>
    <x:xf numFmtId="0" fontId="40" fillId="28" borderId="0" xfId="0" applyNumberFormat="1" applyFont="1" applyFill="1" applyBorder="1" applyAlignment="1">
      <x:alignment horizontal="left" vertical="center" wrapText="1"/>
    </x:xf>
    <x:xf numFmtId="200" fontId="40" fillId="28" borderId="0" xfId="0" applyNumberFormat="1" applyFont="1" applyFill="1" applyBorder="1" applyAlignment="1">
      <x:alignment horizontal="center" vertical="center" wrapText="1"/>
    </x:xf>
    <x:xf numFmtId="201" fontId="40" fillId="28" borderId="0" xfId="0" applyNumberFormat="1" applyFont="1" applyFill="1" applyBorder="1" applyAlignment="1">
      <x:alignment horizontal="center" vertical="center" wrapText="1"/>
    </x:xf>
    <x:xf numFmtId="0" fontId="40" fillId="28" borderId="0" xfId="0" applyNumberFormat="1" applyFont="1" applyFill="1" applyBorder="1" applyAlignment="1">
      <x:alignment horizontal="center" vertical="center" wrapText="1"/>
    </x:xf>
    <x:xf numFmtId="0" fontId="40" fillId="28" borderId="4" xfId="0" applyNumberFormat="1" applyFont="1" applyFill="1" applyBorder="1" applyAlignment="1">
      <x:alignment horizontal="left" vertical="center" wrapText="1"/>
    </x:xf>
    <x:xf numFmtId="200" fontId="40" fillId="28" borderId="4" xfId="0" applyNumberFormat="1" applyFont="1" applyFill="1" applyBorder="1" applyAlignment="1">
      <x:alignment horizontal="center" vertical="center" wrapText="1"/>
    </x:xf>
    <x:xf numFmtId="201" fontId="40" fillId="28" borderId="4" xfId="0" applyNumberFormat="1" applyFont="1" applyFill="1" applyBorder="1" applyAlignment="1">
      <x:alignment horizontal="center" vertical="center" wrapText="1"/>
    </x:xf>
    <x:xf numFmtId="0" fontId="40" fillId="28" borderId="4" xfId="0" applyNumberFormat="1" applyFont="1" applyFill="1" applyBorder="1" applyAlignment="1">
      <x:alignment horizontal="center" vertical="center" wrapText="1"/>
    </x:xf>
    <x:xf numFmtId="0" fontId="41" fillId="21" borderId="0" xfId="0" applyNumberFormat="1" applyFont="1" applyFill="1" applyBorder="1" applyAlignment="1">
      <x:alignment horizontal="left" vertical="center" wrapText="1"/>
    </x:xf>
    <x:xf numFmtId="0" fontId="13" fillId="22" borderId="0" xfId="0" applyNumberFormat="1" applyFont="1" applyFill="1" applyBorder="1" applyAlignment="1">
      <x:alignment horizontal="left" vertical="center"/>
    </x:xf>
    <x:xf numFmtId="0" fontId="13" fillId="22" borderId="0" xfId="0" applyNumberFormat="1" applyFont="1" applyFill="1" applyBorder="1"/>
    <x:xf numFmtId="0" fontId="39" fillId="22" borderId="0" xfId="0" applyNumberFormat="1" applyFont="1" applyFill="1" applyBorder="1" applyAlignment="1">
      <x:alignment horizontal="left" vertical="center"/>
    </x:xf>
    <x:xf numFmtId="0" fontId="39" fillId="22" borderId="0" xfId="0" applyNumberFormat="1" applyFont="1" applyFill="1" applyBorder="1"/>
    <x:xf numFmtId="0" fontId="39" fillId="22" borderId="0" xfId="0" applyNumberFormat="1" applyFont="1" applyFill="1" applyBorder="1" applyAlignment="1">
      <x:alignment wrapText="1"/>
    </x:xf>
    <x:xf numFmtId="0" fontId="39" fillId="22" borderId="0" xfId="0" applyNumberFormat="1" applyFont="1" applyFill="1" applyBorder="1" applyAlignment="1">
      <x:alignment horizontal="left" wrapText="1"/>
    </x:xf>
    <x:xf numFmtId="0" fontId="14" fillId="28" borderId="0" xfId="0" applyNumberFormat="1" applyFont="1" applyFill="1" applyBorder="1" applyAlignment="1">
      <x:alignment horizontal="center" vertical="center" wrapText="1"/>
    </x:xf>
    <x:xf numFmtId="0" fontId="23" fillId="28" borderId="2" xfId="0" applyNumberFormat="1" applyFont="1" applyFill="1" applyBorder="1" applyAlignment="1">
      <x:alignment horizontal="center" vertical="center" wrapText="1"/>
    </x:xf>
    <x:xf numFmtId="200" fontId="23" fillId="28" borderId="2" xfId="0" applyNumberFormat="1" applyFont="1" applyFill="1" applyBorder="1" applyAlignment="1">
      <x:alignment horizontal="center" vertical="center" wrapText="1"/>
    </x:xf>
    <x:xf numFmtId="202" fontId="23" fillId="28" borderId="0" xfId="0" applyNumberFormat="1" applyFont="1" applyFill="1" applyBorder="1" applyAlignment="1">
      <x:alignment horizontal="center" vertical="center" wrapText="1"/>
    </x:xf>
    <x:xf numFmtId="202" fontId="23" fillId="28" borderId="2" xfId="0" applyNumberFormat="1" applyFont="1" applyFill="1" applyBorder="1" applyAlignment="1">
      <x:alignment horizontal="center" vertical="center" wrapText="1"/>
    </x:xf>
    <x:xf numFmtId="0" fontId="13" fillId="28" borderId="0" xfId="0" applyNumberFormat="1" applyFont="1" applyFill="1" applyBorder="1"/>
    <x:xf numFmtId="200" fontId="13" fillId="28" borderId="0" xfId="0" applyNumberFormat="1" applyFont="1" applyFill="1" applyBorder="1" applyAlignment="1">
      <x:alignment vertical="center" wrapText="1"/>
    </x:xf>
    <x:xf numFmtId="0" fontId="33" fillId="28" borderId="2" xfId="0" applyNumberFormat="1" applyFont="1" applyFill="1" applyBorder="1" applyAlignment="1">
      <x:alignment horizontal="left" vertical="center" wrapText="1"/>
    </x:xf>
    <x:xf numFmtId="200" fontId="33" fillId="28" borderId="0" xfId="0" applyNumberFormat="1" applyFont="1" applyFill="1" applyBorder="1" applyAlignment="1">
      <x:alignment horizontal="left" vertical="center" wrapText="1"/>
    </x:xf>
    <x:xf numFmtId="0" fontId="33" fillId="28" borderId="0" xfId="0" applyNumberFormat="1" applyFont="1" applyFill="1" applyBorder="1" applyAlignment="1">
      <x:alignment horizontal="left" vertical="center" wrapText="1"/>
    </x:xf>
    <x:xf numFmtId="0" fontId="14" fillId="28" borderId="0" xfId="0" applyNumberFormat="1" applyFont="1" applyFill="1" applyBorder="1" applyAlignment="1">
      <x:alignment horizontal="left" vertical="center" wrapText="1"/>
    </x:xf>
    <x:xf numFmtId="200" fontId="14" fillId="28" borderId="0" xfId="0" applyNumberFormat="1" applyFont="1" applyFill="1" applyBorder="1" applyAlignment="1">
      <x:alignment horizontal="left" vertical="center" wrapText="1"/>
    </x:xf>
    <x:xf numFmtId="204" fontId="14" fillId="28" borderId="4" xfId="0" applyNumberFormat="1" applyFont="1" applyFill="1" applyBorder="1" applyAlignment="1">
      <x:alignment horizontal="left" vertical="center" wrapText="1"/>
    </x:xf>
    <x:xf numFmtId="0" fontId="23" fillId="28" borderId="0" xfId="0" applyNumberFormat="1" applyFont="1" applyFill="1" applyBorder="1"/>
    <x:xf numFmtId="200" fontId="23" fillId="28" borderId="0" xfId="0" applyNumberFormat="1" applyFont="1" applyFill="1" applyBorder="1" applyAlignment="1">
      <x:alignment vertical="center" wrapText="1"/>
    </x:xf>
    <x:xf numFmtId="0" fontId="14" fillId="28" borderId="2" xfId="0" applyNumberFormat="1" applyFont="1" applyFill="1" applyBorder="1" applyAlignment="1">
      <x:alignment horizontal="left" vertical="center" wrapText="1"/>
    </x:xf>
    <x:xf numFmtId="0" fontId="23" fillId="28" borderId="0" xfId="0" applyNumberFormat="1" applyFont="1" applyFill="1" applyBorder="1" applyAlignment="1">
      <x:alignment wrapText="1"/>
    </x:xf>
    <x:xf numFmtId="0" fontId="23" fillId="28" borderId="0" xfId="0" applyNumberFormat="1" applyFont="1" applyFill="1" applyBorder="1" applyAlignment="1">
      <x:alignment horizontal="center" wrapText="1"/>
    </x:xf>
    <x:xf numFmtId="0" fontId="14" fillId="28" borderId="2" xfId="0" applyNumberFormat="1" applyFont="1" applyFill="1" applyBorder="1" applyAlignment="1">
      <x:alignment horizontal="center" vertical="center" wrapText="1"/>
    </x:xf>
    <x:xf numFmtId="200" fontId="14" fillId="28" borderId="0" xfId="0" applyNumberFormat="1" applyFont="1" applyFill="1" applyBorder="1" applyAlignment="1">
      <x:alignment horizontal="center" vertical="center" wrapText="1"/>
    </x:xf>
    <x:xf numFmtId="204" fontId="14" fillId="28" borderId="4" xfId="0" applyNumberFormat="1" applyFont="1" applyFill="1" applyBorder="1" applyAlignment="1">
      <x:alignment horizontal="center" vertical="center" wrapText="1"/>
    </x:xf>
    <x:xf numFmtId="0" fontId="23" fillId="22" borderId="0" xfId="0" applyNumberFormat="1" applyFont="1" applyFill="1" applyBorder="1" applyAlignment="1">
      <x:alignment horizontal="left" vertical="center" wrapText="1"/>
    </x:xf>
    <x:xf numFmtId="0" fontId="23" fillId="24" borderId="0" xfId="0" applyNumberFormat="1" applyFont="1" applyFill="1" applyBorder="1" applyAlignment="1">
      <x:alignment horizontal="left" vertical="center" wrapText="1"/>
    </x:xf>
    <x:xf numFmtId="0" fontId="21" fillId="24" borderId="2" xfId="0" applyNumberFormat="1" applyFont="1" applyFill="1" applyBorder="1" applyAlignment="1">
      <x:alignment horizontal="left" vertical="center" wrapText="1"/>
    </x:xf>
    <x:xf numFmtId="0" fontId="14" fillId="24" borderId="2" xfId="0" applyNumberFormat="1" applyFont="1" applyFill="1" applyBorder="1" applyAlignment="1">
      <x:alignment horizontal="left" vertical="center" wrapText="1"/>
    </x:xf>
    <x:xf numFmtId="0" fontId="21" fillId="24" borderId="0" xfId="0" applyNumberFormat="1" applyFont="1" applyFill="1" applyBorder="1" applyAlignment="1">
      <x:alignment horizontal="left" vertical="center" wrapText="1"/>
    </x:xf>
    <x:xf numFmtId="0" fontId="14" fillId="24" borderId="0" xfId="0" applyNumberFormat="1" applyFont="1" applyFill="1" applyBorder="1" applyAlignment="1">
      <x:alignment horizontal="left" vertical="center" wrapText="1"/>
    </x:xf>
    <x:xf numFmtId="0" fontId="13" fillId="24" borderId="0" xfId="0" applyNumberFormat="1" applyFont="1" applyFill="1" applyBorder="1"/>
    <x:xf numFmtId="0" fontId="21" fillId="24" borderId="0" xfId="0" applyNumberFormat="1" applyFont="1" applyFill="1" applyBorder="1" applyAlignment="1">
      <x:alignment horizontal="center" vertical="center" wrapText="1"/>
    </x:xf>
    <x:xf numFmtId="201" fontId="23" fillId="24" borderId="0" xfId="0" applyNumberFormat="1" applyFont="1" applyFill="1" applyBorder="1" applyAlignment="1">
      <x:alignment horizontal="left" vertical="center" wrapText="1"/>
    </x:xf>
    <x:xf numFmtId="200" fontId="23" fillId="24" borderId="0" xfId="0" applyNumberFormat="1" applyFont="1" applyFill="1" applyBorder="1" applyAlignment="1">
      <x:alignment horizontal="left" vertical="center" wrapText="1"/>
    </x:xf>
    <x:xf numFmtId="0" fontId="23" fillId="24" borderId="2" xfId="0" applyNumberFormat="1" applyFont="1" applyFill="1" applyBorder="1" applyAlignment="1">
      <x:alignment horizontal="left" vertical="center" wrapText="1"/>
    </x:xf>
    <x:xf numFmtId="0" fontId="23" fillId="24" borderId="0" xfId="0" applyNumberFormat="1" applyFont="1" applyFill="1" applyBorder="1"/>
    <x:xf numFmtId="0" fontId="14" fillId="24" borderId="0" xfId="0" applyNumberFormat="1" applyFont="1" applyFill="1" applyBorder="1" applyAlignment="1">
      <x:alignment horizontal="center" vertical="center" wrapText="1"/>
    </x:xf>
    <x:xf numFmtId="0" fontId="23" fillId="24" borderId="0" xfId="0" applyNumberFormat="1" applyFont="1" applyFill="1" applyBorder="1" applyAlignment="1">
      <x:alignment wrapText="1"/>
    </x:xf>
    <x:xf numFmtId="0" fontId="23" fillId="24" borderId="0" xfId="0" applyNumberFormat="1" applyFont="1" applyFill="1" applyBorder="1" applyAlignment="1">
      <x:alignment horizontal="left" wrapText="1"/>
    </x:xf>
    <x:xf numFmtId="0" fontId="36" fillId="21" borderId="0" xfId="0" applyNumberFormat="1" applyFont="1" applyFill="1" applyBorder="1" applyAlignment="1">
      <x:alignment horizontal="left" vertical="center" wrapText="1"/>
    </x:xf>
    <x:xf numFmtId="0" fontId="7" fillId="21" borderId="0" xfId="0" applyNumberFormat="1" applyFont="1" applyFill="1" applyBorder="1" applyAlignment="1">
      <x:alignment horizontal="left" vertical="center" wrapText="1"/>
    </x:xf>
    <x:xf numFmtId="0" fontId="7" fillId="21" borderId="0" xfId="0" applyNumberFormat="1" applyFont="1" applyFill="1" applyBorder="1" applyAlignment="1">
      <x:alignment horizontal="center" vertical="center" wrapText="1"/>
    </x:xf>
    <x:xf numFmtId="0" fontId="37" fillId="24" borderId="0" xfId="0" applyNumberFormat="1" applyFont="1" applyFill="1" applyBorder="1" applyAlignment="1">
      <x:alignment horizontal="left" vertical="center" wrapText="1"/>
    </x:xf>
    <x:xf numFmtId="0" fontId="25" fillId="13" borderId="0" xfId="0" applyNumberFormat="1" applyFont="1" applyFill="1" applyBorder="1" applyAlignment="1">
      <x:alignment horizontal="left" vertical="center" wrapText="1"/>
    </x:xf>
    <x:xf numFmtId="0" fontId="38" fillId="13" borderId="0" xfId="0" applyNumberFormat="1" applyFont="1" applyFill="1" applyBorder="1" applyAlignment="1">
      <x:alignment horizontal="left" vertical="center" wrapText="1"/>
    </x:xf>
    <x:xf numFmtId="0" fontId="39" fillId="3" borderId="0" xfId="0" applyNumberFormat="1" applyFont="1" applyFill="1" applyBorder="1" applyAlignment="1">
      <x:alignment horizontal="left" vertical="center" wrapText="1"/>
    </x:xf>
    <x:xf numFmtId="0" fontId="30" fillId="13" borderId="2" xfId="0" applyNumberFormat="1" applyFont="1" applyFill="1" applyBorder="1" applyAlignment="1">
      <x:alignment horizontal="left" vertical="center" wrapText="1"/>
    </x:xf>
    <x:xf numFmtId="0" fontId="14" fillId="18" borderId="0" xfId="0" applyNumberFormat="1" applyFont="1" applyFill="1" applyBorder="1" applyAlignment="1">
      <x:alignment horizontal="left" vertical="center" wrapText="1"/>
    </x:xf>
    <x:xf numFmtId="0" fontId="14" fillId="19" borderId="0" xfId="0" applyNumberFormat="1" applyFont="1" applyFill="1" applyBorder="1" applyAlignment="1">
      <x:alignment horizontal="left" vertical="center" wrapText="1"/>
    </x:xf>
    <x:xf numFmtId="0" fontId="40" fillId="6" borderId="0" xfId="0" applyNumberFormat="1" applyFont="1" applyFill="1" applyBorder="1" applyAlignment="1">
      <x:alignment horizontal="left" vertical="center" wrapText="1"/>
    </x:xf>
    <x:xf numFmtId="200" fontId="40" fillId="6" borderId="0" xfId="0" applyNumberFormat="1" applyFont="1" applyFill="1" applyBorder="1" applyAlignment="1">
      <x:alignment horizontal="center" vertical="center" wrapText="1"/>
    </x:xf>
    <x:xf numFmtId="201" fontId="40" fillId="6" borderId="0" xfId="0" applyNumberFormat="1" applyFont="1" applyFill="1" applyBorder="1" applyAlignment="1">
      <x:alignment horizontal="center" vertical="center" wrapText="1"/>
    </x:xf>
    <x:xf numFmtId="0" fontId="40" fillId="6" borderId="0" xfId="0" applyNumberFormat="1" applyFont="1" applyFill="1" applyBorder="1" applyAlignment="1">
      <x:alignment horizontal="center" vertical="center" wrapText="1"/>
    </x:xf>
    <x:xf numFmtId="0" fontId="40" fillId="6" borderId="4" xfId="0" applyNumberFormat="1" applyFont="1" applyFill="1" applyBorder="1" applyAlignment="1">
      <x:alignment horizontal="left" vertical="center" wrapText="1"/>
    </x:xf>
    <x:xf numFmtId="200" fontId="40" fillId="6" borderId="4" xfId="0" applyNumberFormat="1" applyFont="1" applyFill="1" applyBorder="1" applyAlignment="1">
      <x:alignment horizontal="center" vertical="center" wrapText="1"/>
    </x:xf>
    <x:xf numFmtId="201" fontId="40" fillId="6" borderId="4" xfId="0" applyNumberFormat="1" applyFont="1" applyFill="1" applyBorder="1" applyAlignment="1">
      <x:alignment horizontal="center" vertical="center" wrapText="1"/>
    </x:xf>
    <x:xf numFmtId="0" fontId="40" fillId="6" borderId="4" xfId="0" applyNumberFormat="1" applyFont="1" applyFill="1" applyBorder="1" applyAlignment="1">
      <x:alignment horizontal="center" vertical="center" wrapText="1"/>
    </x:xf>
    <x:xf numFmtId="0" fontId="41" fillId="13" borderId="0" xfId="0" applyNumberFormat="1" applyFont="1" applyFill="1" applyBorder="1" applyAlignment="1">
      <x:alignment horizontal="left" vertical="center" wrapText="1"/>
    </x:xf>
    <x:xf numFmtId="0" fontId="39" fillId="3" borderId="0" xfId="0" applyNumberFormat="1" applyFont="1" applyFill="1" applyBorder="1" applyAlignment="1">
      <x:alignment horizontal="left" vertical="center"/>
    </x:xf>
    <x:xf numFmtId="0" fontId="39" fillId="3" borderId="0" xfId="0" applyNumberFormat="1" applyFont="1" applyFill="1" applyBorder="1"/>
    <x:xf numFmtId="0" fontId="39" fillId="3" borderId="0" xfId="0" applyNumberFormat="1" applyFont="1" applyFill="1" applyBorder="1" applyAlignment="1">
      <x:alignment wrapText="1"/>
    </x:xf>
    <x:xf numFmtId="0" fontId="39" fillId="3" borderId="0" xfId="0" applyNumberFormat="1" applyFont="1" applyFill="1" applyBorder="1" applyAlignment="1">
      <x:alignment horizontal="left" wrapText="1"/>
    </x:xf>
    <x:xf numFmtId="0" fontId="13" fillId="6" borderId="0" xfId="0" applyNumberFormat="1" applyFont="1" applyFill="1" applyBorder="1"/>
    <x:xf numFmtId="200" fontId="13" fillId="6" borderId="0" xfId="0" applyNumberFormat="1" applyFont="1" applyFill="1" applyBorder="1" applyAlignment="1">
      <x:alignment vertical="center" wrapText="1"/>
    </x:xf>
    <x:xf numFmtId="0" fontId="33" fillId="6" borderId="2" xfId="0" applyNumberFormat="1" applyFont="1" applyFill="1" applyBorder="1" applyAlignment="1">
      <x:alignment horizontal="left" vertical="center" wrapText="1"/>
    </x:xf>
    <x:xf numFmtId="200" fontId="33" fillId="6" borderId="0" xfId="0" applyNumberFormat="1" applyFont="1" applyFill="1" applyBorder="1" applyAlignment="1">
      <x:alignment horizontal="left" vertical="center" wrapText="1"/>
    </x:xf>
    <x:xf numFmtId="0" fontId="33" fillId="6" borderId="0" xfId="0" applyNumberFormat="1" applyFont="1" applyFill="1" applyBorder="1" applyAlignment="1">
      <x:alignment horizontal="left" vertical="center" wrapText="1"/>
    </x:xf>
    <x:xf numFmtId="0" fontId="14" fillId="6" borderId="0" xfId="0" applyNumberFormat="1" applyFont="1" applyFill="1" applyBorder="1" applyAlignment="1">
      <x:alignment horizontal="left" vertical="center" wrapText="1"/>
    </x:xf>
    <x:xf numFmtId="200" fontId="14" fillId="6" borderId="0" xfId="0" applyNumberFormat="1" applyFont="1" applyFill="1" applyBorder="1" applyAlignment="1">
      <x:alignment horizontal="left" vertical="center" wrapText="1"/>
    </x:xf>
    <x:xf numFmtId="204" fontId="14" fillId="6" borderId="4" xfId="0" applyNumberFormat="1" applyFont="1" applyFill="1" applyBorder="1" applyAlignment="1">
      <x:alignment horizontal="left" vertical="center" wrapText="1"/>
    </x:xf>
    <x:xf numFmtId="0" fontId="23" fillId="6" borderId="0" xfId="0" applyNumberFormat="1" applyFont="1" applyFill="1" applyBorder="1"/>
    <x:xf numFmtId="0" fontId="14" fillId="6" borderId="2" xfId="0" applyNumberFormat="1" applyFont="1" applyFill="1" applyBorder="1" applyAlignment="1">
      <x:alignment horizontal="left" vertical="center" wrapText="1"/>
    </x:xf>
    <x:xf numFmtId="0" fontId="14" fillId="6" borderId="2" xfId="0" applyNumberFormat="1" applyFont="1" applyFill="1" applyBorder="1" applyAlignment="1">
      <x:alignment horizontal="center" vertical="center" wrapText="1"/>
    </x:xf>
    <x:xf numFmtId="200" fontId="14" fillId="6" borderId="0" xfId="0" applyNumberFormat="1" applyFont="1" applyFill="1" applyBorder="1" applyAlignment="1">
      <x:alignment horizontal="center" vertical="center" wrapText="1"/>
    </x:xf>
    <x:xf numFmtId="204" fontId="14" fillId="6" borderId="4" xfId="0" applyNumberFormat="1" applyFont="1" applyFill="1" applyBorder="1" applyAlignment="1">
      <x:alignment horizontal="center" vertical="center" wrapText="1"/>
    </x:xf>
    <x:xf numFmtId="0" fontId="23" fillId="3" borderId="0" xfId="0" applyNumberFormat="1" applyFont="1" applyFill="1" applyBorder="1" applyAlignment="1">
      <x:alignment horizontal="left" vertical="center" wrapText="1"/>
    </x:xf>
    <x:xf numFmtId="0" fontId="21" fillId="17" borderId="2" xfId="0" applyNumberFormat="1" applyFont="1" applyFill="1" applyBorder="1" applyAlignment="1">
      <x:alignment horizontal="left" vertical="center" wrapText="1"/>
    </x:xf>
    <x:xf numFmtId="0" fontId="21" fillId="17" borderId="0" xfId="0" applyNumberFormat="1" applyFont="1" applyFill="1" applyBorder="1" applyAlignment="1">
      <x:alignment horizontal="left" vertical="center" wrapText="1"/>
    </x:xf>
    <x:xf numFmtId="0" fontId="21" fillId="17" borderId="0" xfId="0" applyNumberFormat="1" applyFont="1" applyFill="1" applyBorder="1" applyAlignment="1">
      <x:alignment horizontal="center" vertical="center" wrapText="1"/>
    </x:xf>
    <x:xf numFmtId="0" fontId="14" fillId="17" borderId="0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7" fillId="13" borderId="0" xfId="0" applyNumberFormat="1" applyFont="1" applyFill="1" applyBorder="1" applyAlignment="1">
      <x:alignment horizontal="center" vertical="center" wrapText="1"/>
    </x:xf>
    <x:xf numFmtId="0" fontId="21" fillId="5" borderId="0" xfId="0" applyNumberFormat="1" applyFont="1" applyFill="1" applyBorder="1" applyAlignment="1">
      <x:alignment horizontal="center" vertical="center" wrapText="0"/>
    </x:xf>
    <x:xf numFmtId="0" fontId="13" fillId="0" borderId="0" xfId="0" applyNumberFormat="1" applyFont="1" applyFill="1" applyBorder="1" applyAlignment="1">
      <x:alignment wrapText="0"/>
    </x:xf>
    <x:xf numFmtId="0" fontId="21" fillId="16" borderId="0" xfId="0" applyNumberFormat="1" applyFont="1" applyFill="1" applyBorder="1" applyAlignment="1">
      <x:alignment horizontal="center" vertical="center" wrapText="0"/>
    </x:xf>
    <x:xf numFmtId="0" fontId="13" fillId="0" borderId="0" xfId="0" applyNumberFormat="1" applyFont="1" applyFill="1" applyBorder="1" applyAlignment="1">
      <x:alignment horizontal="center" wrapText="0"/>
    </x:xf>
    <x:xf numFmtId="0" fontId="40" fillId="6" borderId="0" xfId="0" applyNumberFormat="1" applyFont="1" applyFill="1" applyBorder="1" applyAlignment="1">
      <x:alignment horizontal="left" vertical="center" wrapText="0"/>
    </x:xf>
    <x:xf numFmtId="200" fontId="40" fillId="6" borderId="0" xfId="0" applyNumberFormat="1" applyFont="1" applyFill="1" applyBorder="1" applyAlignment="1">
      <x:alignment horizontal="center" vertical="center" wrapText="0"/>
    </x:xf>
    <x:xf numFmtId="201" fontId="40" fillId="6" borderId="0" xfId="0" applyNumberFormat="1" applyFont="1" applyFill="1" applyBorder="1" applyAlignment="1">
      <x:alignment horizontal="center" vertical="center" wrapText="0"/>
    </x:xf>
    <x:xf numFmtId="0" fontId="40" fillId="6" borderId="0" xfId="0" applyNumberFormat="1" applyFont="1" applyFill="1" applyBorder="1" applyAlignment="1">
      <x:alignment horizontal="center" vertical="center" wrapText="0"/>
    </x:xf>
    <x:xf numFmtId="0" fontId="40" fillId="6" borderId="4" xfId="0" applyNumberFormat="1" applyFont="1" applyFill="1" applyBorder="1" applyAlignment="1">
      <x:alignment horizontal="left" vertical="center" wrapText="0"/>
    </x:xf>
    <x:xf numFmtId="200" fontId="40" fillId="6" borderId="4" xfId="0" applyNumberFormat="1" applyFont="1" applyFill="1" applyBorder="1" applyAlignment="1">
      <x:alignment horizontal="center" vertical="center" wrapText="0"/>
    </x:xf>
    <x:xf numFmtId="201" fontId="40" fillId="6" borderId="4" xfId="0" applyNumberFormat="1" applyFont="1" applyFill="1" applyBorder="1" applyAlignment="1">
      <x:alignment horizontal="center" vertical="center" wrapText="0"/>
    </x:xf>
    <x:xf numFmtId="0" fontId="40" fillId="6" borderId="4" xfId="0" applyNumberFormat="1" applyFont="1" applyFill="1" applyBorder="1" applyAlignment="1">
      <x:alignment horizontal="center" vertical="center" wrapText="0"/>
    </x:xf>
    <x:xf numFmtId="0" fontId="14" fillId="6" borderId="0" xfId="0" applyNumberFormat="1" applyFont="1" applyFill="1" applyBorder="1" applyAlignment="1">
      <x:alignment horizontal="center" vertical="center" wrapText="0"/>
    </x:xf>
    <x:xf numFmtId="200" fontId="23" fillId="6" borderId="0" xfId="0" applyNumberFormat="1" applyFont="1" applyFill="1" applyBorder="1" applyAlignment="1">
      <x:alignment horizontal="center" vertical="center" wrapText="0"/>
    </x:xf>
    <x:xf numFmtId="201" fontId="23" fillId="6" borderId="0" xfId="0" applyNumberFormat="1" applyFont="1" applyFill="1" applyBorder="1" applyAlignment="1">
      <x:alignment horizontal="center" vertical="center" wrapText="0"/>
    </x:xf>
    <x:xf numFmtId="0" fontId="23" fillId="6" borderId="0" xfId="0" applyNumberFormat="1" applyFont="1" applyFill="1" applyBorder="1" applyAlignment="1">
      <x:alignment horizontal="center" vertical="center" wrapText="0"/>
    </x:xf>
    <x:xf numFmtId="200" fontId="23" fillId="6" borderId="4" xfId="0" applyNumberFormat="1" applyFont="1" applyFill="1" applyBorder="1" applyAlignment="1">
      <x:alignment horizontal="center" vertical="center" wrapText="0"/>
    </x:xf>
    <x:xf numFmtId="201" fontId="23" fillId="6" borderId="4" xfId="0" applyNumberFormat="1" applyFont="1" applyFill="1" applyBorder="1" applyAlignment="1">
      <x:alignment horizontal="center" vertical="center" wrapText="0"/>
    </x:xf>
    <x:xf numFmtId="0" fontId="23" fillId="6" borderId="4" xfId="0" applyNumberFormat="1" applyFont="1" applyFill="1" applyBorder="1" applyAlignment="1">
      <x:alignment horizontal="center" vertical="center" wrapText="0"/>
    </x:xf>
    <x:xf numFmtId="0" fontId="23" fillId="6" borderId="2" xfId="0" applyNumberFormat="1" applyFont="1" applyFill="1" applyBorder="1" applyAlignment="1">
      <x:alignment horizontal="center" vertical="center" wrapText="0"/>
    </x:xf>
    <x:xf numFmtId="200" fontId="23" fillId="6" borderId="2" xfId="0" applyNumberFormat="1" applyFont="1" applyFill="1" applyBorder="1" applyAlignment="1">
      <x:alignment horizontal="center" vertical="center" wrapText="0"/>
    </x:xf>
    <x:xf numFmtId="200" fontId="31" fillId="17" borderId="0" xfId="0" applyNumberFormat="1" applyFont="1" applyFill="1" applyBorder="1" applyAlignment="1">
      <x:alignment horizontal="center" vertical="center" wrapText="0"/>
    </x:xf>
    <x:xf numFmtId="203" fontId="31" fillId="17" borderId="0" xfId="0" applyNumberFormat="1" applyFont="1" applyFill="1" applyBorder="1" applyAlignment="1">
      <x:alignment horizontal="center" vertical="center" wrapText="0"/>
    </x:xf>
    <x:xf numFmtId="201" fontId="31" fillId="17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25">
    <x:dxf>
      <x:font>
        <x:b/>
        <x:color rgb="A95445"/>
      </x:font>
      <x:fill>
        <x:patternFill>
          <x:bgColor rgb="F7E1DE"/>
        </x:patternFill>
      </x:fill>
    </x:dxf>
    <x:dxf>
      <x:font>
        <x:b/>
        <x:color rgb="55765B"/>
      </x:font>
      <x:fill>
        <x:patternFill>
          <x:bgColor rgb="E7F2E9"/>
        </x:patternFill>
      </x:fill>
    </x:dxf>
    <x:dxf>
      <x:font>
        <x:b/>
        <x:color rgb="A95445"/>
      </x:font>
      <x:fill>
        <x:patternFill>
          <x:bgColor rgb="F7E1DE"/>
        </x:patternFill>
      </x:fill>
    </x:dxf>
    <x:dxf>
      <x:font>
        <x:b/>
        <x:color rgb="55765B"/>
      </x:font>
      <x:fill>
        <x:patternFill>
          <x:bgColor rgb="E7F2E9"/>
        </x:patternFill>
      </x:fill>
    </x:dxf>
    <x:dxf>
      <x:font>
        <x:b/>
        <x:color rgb="A95445"/>
      </x:font>
      <x:fill>
        <x:patternFill>
          <x:bgColor rgb="F7E1DE"/>
        </x:patternFill>
      </x:fill>
    </x:dxf>
    <x:dxf>
      <x:font>
        <x:b/>
        <x:color rgb="A95445"/>
      </x:font>
    </x:dxf>
    <x:dxf>
      <x:font>
        <x:b/>
        <x:color rgb="A95445"/>
      </x:font>
    </x:dxf>
    <x:dxf>
      <x:font>
        <x:b/>
        <x:color rgb="A95445"/>
      </x:font>
      <x:fill>
        <x:patternFill>
          <x:bgColor rgb="F7E1DE"/>
        </x:patternFill>
      </x:fill>
    </x:dxf>
    <x:dxf>
      <x:font>
        <x:b/>
        <x:color rgb="55765B"/>
      </x:font>
      <x:fill>
        <x:patternFill>
          <x:bgColor rgb="E7F2E9"/>
        </x:patternFill>
      </x:fill>
    </x:dxf>
    <x:dxf>
      <x:font>
        <x:b/>
        <x:color rgb="8A2C20"/>
      </x:font>
      <x:fill>
        <x:patternFill>
          <x:bgColor rgb="F7D9D4"/>
        </x:patternFill>
      </x:fill>
    </x:dxf>
    <x:dxf>
      <x:font>
        <x:b/>
        <x:color rgb="6E5630"/>
      </x:font>
      <x:fill>
        <x:patternFill>
          <x:bgColor rgb="F4ECE0"/>
        </x:patternFill>
      </x:fill>
    </x:dxf>
    <x:dxf>
      <x:font>
        <x:b/>
        <x:color rgb="3F5F45"/>
      </x:font>
      <x:fill>
        <x:patternFill>
          <x:bgColor rgb="E9EFE7"/>
        </x:patternFill>
      </x:fill>
    </x:dxf>
    <x:dxf>
      <x:font>
        <x:b/>
        <x:color rgb="3F5F45"/>
      </x:font>
      <x:fill>
        <x:patternFill>
          <x:bgColor rgb="E9EFE7"/>
        </x:patternFill>
      </x:fill>
    </x:dxf>
    <x:dxf>
      <x:font>
        <x:b/>
        <x:color rgb="8A2C20"/>
      </x:font>
      <x:fill>
        <x:patternFill>
          <x:bgColor rgb="F7D9D4"/>
        </x:patternFill>
      </x:fill>
    </x:dxf>
    <x:dxf>
      <x:font>
        <x:b/>
        <x:color rgb="6E5630"/>
      </x:font>
      <x:fill>
        <x:patternFill>
          <x:bgColor rgb="F4ECE0"/>
        </x:patternFill>
      </x:fill>
    </x:dxf>
    <x:dxf>
      <x:font>
        <x:b/>
        <x:color rgb="3F5F45"/>
      </x:font>
      <x:fill>
        <x:patternFill>
          <x:bgColor rgb="E9EFE7"/>
        </x:patternFill>
      </x:fill>
    </x:dxf>
    <x:dxf>
      <x:font>
        <x:b/>
        <x:color rgb="3F5F45"/>
      </x:font>
      <x:fill>
        <x:patternFill>
          <x:bgColor rgb="E9EFE7"/>
        </x:patternFill>
      </x:fill>
    </x:dxf>
    <x:dxf>
      <x:font>
        <x:b/>
        <x:color rgb="8A2C20"/>
      </x:font>
      <x:fill>
        <x:patternFill>
          <x:bgColor rgb="F7D9D4"/>
        </x:patternFill>
      </x:fill>
    </x:dxf>
    <x:dxf>
      <x:font>
        <x:b/>
        <x:color rgb="6E5630"/>
      </x:font>
      <x:fill>
        <x:patternFill>
          <x:bgColor rgb="F4ECE0"/>
        </x:patternFill>
      </x:fill>
    </x:dxf>
    <x:dxf>
      <x:font>
        <x:b/>
        <x:color rgb="3F5F45"/>
      </x:font>
      <x:fill>
        <x:patternFill>
          <x:bgColor rgb="E9EFE7"/>
        </x:patternFill>
      </x:fill>
    </x:dxf>
    <x:dxf>
      <x:font>
        <x:b/>
        <x:color rgb="3F5F45"/>
      </x:font>
      <x:fill>
        <x:patternFill>
          <x:bgColor rgb="E9EFE7"/>
        </x:patternFill>
      </x:fill>
    </x:dxf>
    <x:dxf>
      <x:font>
        <x:b/>
        <x:color rgb="8A2C20"/>
      </x:font>
      <x:fill>
        <x:patternFill>
          <x:bgColor rgb="F7D9D4"/>
        </x:patternFill>
      </x:fill>
    </x:dxf>
    <x:dxf>
      <x:font>
        <x:b/>
        <x:color rgb="6E5630"/>
      </x:font>
      <x:fill>
        <x:patternFill>
          <x:bgColor rgb="F4ECE0"/>
        </x:patternFill>
      </x:fill>
    </x:dxf>
    <x:dxf>
      <x:font>
        <x:b/>
        <x:color rgb="3F5F45"/>
      </x:font>
      <x:fill>
        <x:patternFill>
          <x:bgColor rgb="E9EFE7"/>
        </x:patternFill>
      </x:fill>
    </x:dxf>
    <x:dxf>
      <x:font>
        <x:b/>
        <x:color rgb="3F5F45"/>
      </x:font>
      <x:fill>
        <x:patternFill>
          <x:bgColor rgb="E9EF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2b89764a948f1" /><Relationship Type="http://schemas.openxmlformats.org/officeDocument/2006/relationships/theme" Target="/xl/theme/theme1.xml" Id="R12945ee3860d4b3d" /><Relationship Type="http://schemas.openxmlformats.org/officeDocument/2006/relationships/sharedStrings" Target="/xl/sharedStrings.xml" Id="R784f6e1d6e3f4277" /><Relationship Type="http://schemas.openxmlformats.org/officeDocument/2006/relationships/worksheet" Target="/xl/worksheets/sheet1.xml" Id="R8359ea79bf194237" /><Relationship Type="http://schemas.openxmlformats.org/officeDocument/2006/relationships/worksheet" Target="/xl/worksheets/sheet2.xml" Id="R7ed33514aac8489d" /><Relationship Type="http://schemas.openxmlformats.org/officeDocument/2006/relationships/worksheet" Target="/xl/worksheets/sheet3.xml" Id="Ra604c99fe21d472b" /><Relationship Type="http://schemas.openxmlformats.org/officeDocument/2006/relationships/worksheet" Target="/xl/worksheets/sheet4.xml" Id="R62c4ab371bd24a65" /><Relationship Type="http://schemas.openxmlformats.org/officeDocument/2006/relationships/worksheet" Target="/xl/worksheets/sheet5.xml" Id="R717a095588174701" /><Relationship Type="http://schemas.openxmlformats.org/officeDocument/2006/relationships/worksheet" Target="/xl/worksheets/sheet6.xml" Id="R3866f1c7a0fa4929" /><Relationship Type="http://schemas.openxmlformats.org/officeDocument/2006/relationships/worksheet" Target="/xl/worksheets/sheet7.xml" Id="Re610d483cc534918" /><Relationship Type="http://schemas.openxmlformats.org/officeDocument/2006/relationships/worksheet" Target="/xl/worksheets/sheet8.xml" Id="R81c41084496d4ca7" /><Relationship Type="http://schemas.openxmlformats.org/officeDocument/2006/relationships/worksheet" Target="/xl/worksheets/sheet9.xml" Id="R86a73e6832c54a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ddafa6ae964e5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cat>
            <c:strRef>
              <c:f>'Category Summary'!$A$5:$A$14</c:f>
              <c:strCache>
                <c:ptCount val="0"/>
              </c:strCache>
            </c:strRef>
          </c:cat>
          <c:val>
            <c:numRef>
              <c:f>'Category Summary'!$C$5:$C$14</c:f>
              <c:numCache>
                <c:formatCode>€#,##0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35</xdr:row>
      <xdr:rowOff>0</xdr:rowOff>
    </xdr:from>
    <xdr:to>
      <xdr:col>11</xdr:col>
      <xdr:colOff>0</xdr:colOff>
      <xdr:row>56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ddafa6ae964e5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119385ca7b340bc" /></Relationships>
</file>

<file path=xl/worksheets/sheet1.xml><?xml version="1.0" encoding="utf-8"?>
<x:worksheet xmlns:x="http://schemas.openxmlformats.org/spreadsheetml/2006/main">
  <x:sheetFormatPr defaultRowHeight="15"/>
  <x:cols>
    <x:col min="13" max="13" width="1" hidden="0" customWidth="1"/>
    <x:col min="14" max="14" width="1" hidden="0" customWidth="1"/>
    <x:col min="1" max="1" width="16" hidden="0" customWidth="1"/>
    <x:col min="2" max="2" width="12" hidden="0" customWidth="1"/>
    <x:col min="3" max="3" width="13" hidden="0" customWidth="1"/>
    <x:col min="4" max="4" width="10" hidden="0" customWidth="1"/>
    <x:col min="5" max="5" width="19" hidden="0" customWidth="1"/>
    <x:col min="6" max="6" width="3" hidden="0" customWidth="1"/>
    <x:col min="7" max="7" width="20" hidden="0" customWidth="1"/>
    <x:col min="8" max="8" width="12" hidden="0" customWidth="1"/>
    <x:col min="9" max="9" width="13" hidden="0" customWidth="1"/>
    <x:col min="10" max="10" width="12" hidden="0" customWidth="1"/>
    <x:col min="11" max="11" width="18" hidden="0" customWidth="1"/>
    <x:col min="12" max="12" width="2" hidden="0" customWidth="1"/>
  </x:cols>
  <x:sheetData>
    <x:row r="1" ht="26" hidden="0" customHeight="1">
      <x:c r="A1" s="835" t="str">
        <x:v>StillOak Studio · Personal Budget System V10</x:v>
      </x:c>
      <x:c r="B1" s="835"/>
      <x:c r="C1" s="835"/>
      <x:c r="D1" s="835"/>
      <x:c r="E1" s="835"/>
      <x:c r="F1" s="835"/>
      <x:c r="G1" s="835"/>
      <x:c r="H1" s="835"/>
      <x:c r="I1" s="835"/>
      <x:c r="J1" s="835"/>
      <x:c r="K1" s="835"/>
      <x:c r="L1" s="513"/>
      <x:c r="M1" s="543" t="str">
        <x:v>Metric</x:v>
      </x:c>
      <x:c r="N1" s="543" t="str">
        <x:v>Value</x:v>
      </x:c>
    </x:row>
    <x:row r="2" ht="18" hidden="0" customHeight="1">
      <x:c r="A2" s="836"/>
      <x:c r="B2" s="836"/>
      <x:c r="C2" s="836"/>
      <x:c r="D2" s="836"/>
      <x:c r="E2" s="836"/>
      <x:c r="F2" s="836"/>
      <x:c r="G2" s="836"/>
      <x:c r="H2" s="836"/>
      <x:c r="I2" s="836"/>
      <x:c r="J2" s="836"/>
      <x:c r="K2" s="836"/>
      <x:c r="L2" s="522"/>
      <x:c r="M2" s="544" t="str">
        <x:v>Income</x:v>
      </x:c>
      <x:c r="N2" s="545" t="n">
        <x:f>Income!B18</x:f>
        <x:v>2910</x:v>
      </x:c>
    </x:row>
    <x:row r="3" ht="20" hidden="0" customHeight="1">
      <x:c r="A3" s="838" t="str">
        <x:v>Premium budget dashboard for income, expenses, savings goals and monthly decisions.</x:v>
      </x:c>
      <x:c r="B3" s="838"/>
      <x:c r="C3" s="838"/>
      <x:c r="D3" s="838"/>
      <x:c r="E3" s="838"/>
      <x:c r="F3" s="838"/>
      <x:c r="G3" s="838"/>
      <x:c r="H3" s="838"/>
      <x:c r="I3" s="838"/>
      <x:c r="J3" s="838"/>
      <x:c r="K3" s="838"/>
      <x:c r="L3" s="522"/>
      <x:c r="M3" s="544" t="str">
        <x:v>Expenses</x:v>
      </x:c>
      <x:c r="N3" s="545" t="n">
        <x:f>Expenses!B28</x:f>
        <x:v>1973</x:v>
      </x:c>
    </x:row>
    <x:row r="4" ht="8" hidden="0" customHeight="1">
      <x:c r="A4" s="295"/>
      <x:c r="B4" s="295"/>
      <x:c r="C4" s="295"/>
      <x:c r="D4" s="295"/>
      <x:c r="E4" s="295"/>
      <x:c r="F4" s="295"/>
      <x:c r="G4" s="295"/>
      <x:c r="H4" s="295"/>
      <x:c r="I4" s="295"/>
      <x:c r="J4" s="295"/>
      <x:c r="K4" s="295"/>
      <x:c r="M4" s="544" t="str">
        <x:v>Monthly balance</x:v>
      </x:c>
      <x:c r="N4" s="545" t="n">
        <x:f>N2-N3</x:f>
        <x:v>937</x:v>
      </x:c>
    </x:row>
    <x:row r="5" ht="22" hidden="0" customHeight="1">
      <x:c r="A5" s="840" t="str">
        <x:v>Income</x:v>
      </x:c>
      <x:c r="B5" s="840"/>
      <x:c r="C5" s="549"/>
      <x:c r="D5" s="840" t="str">
        <x:v>Expenses</x:v>
      </x:c>
      <x:c r="E5" s="840"/>
      <x:c r="F5" s="549"/>
      <x:c r="G5" s="840" t="str">
        <x:v>Monthly Balance</x:v>
      </x:c>
      <x:c r="H5" s="840"/>
      <x:c r="I5" s="549"/>
      <x:c r="J5" s="840" t="str">
        <x:v>Budget Score</x:v>
      </x:c>
      <x:c r="K5" s="840"/>
      <x:c r="L5" s="556"/>
      <x:c r="M5" s="544" t="str">
        <x:v>Savings rate</x:v>
      </x:c>
      <x:c r="N5" s="546" t="n">
        <x:f>IFERROR(N4/N2,0)</x:f>
        <x:v>0.32199312714776634</x:v>
      </x:c>
    </x:row>
    <x:row r="6" ht="28" hidden="0" customHeight="1">
      <x:c r="A6" s="974" t="n">
        <x:f>N2</x:f>
        <x:v>2910</x:v>
      </x:c>
      <x:c r="B6" s="974"/>
      <x:c r="C6" s="551"/>
      <x:c r="D6" s="974" t="n">
        <x:f>N3</x:f>
        <x:v>1973</x:v>
      </x:c>
      <x:c r="E6" s="974"/>
      <x:c r="F6" s="551"/>
      <x:c r="G6" s="974" t="n">
        <x:f>N4</x:f>
        <x:v>937</x:v>
      </x:c>
      <x:c r="H6" s="974"/>
      <x:c r="I6" s="551"/>
      <x:c r="J6" s="975" t="n">
        <x:f>N17</x:f>
        <x:v>71</x:v>
      </x:c>
      <x:c r="K6" s="975"/>
      <x:c r="L6" s="568"/>
      <x:c r="M6" s="544" t="str">
        <x:v>Planned income</x:v>
      </x:c>
      <x:c r="N6" s="545" t="n">
        <x:f>Income!B17</x:f>
        <x:v>2830</x:v>
      </x:c>
    </x:row>
    <x:row r="7" ht="28" hidden="0" customHeight="1">
      <x:c r="A7" s="974"/>
      <x:c r="B7" s="974"/>
      <x:c r="C7" s="551"/>
      <x:c r="D7" s="974"/>
      <x:c r="E7" s="974"/>
      <x:c r="F7" s="551"/>
      <x:c r="G7" s="974"/>
      <x:c r="H7" s="974"/>
      <x:c r="I7" s="551"/>
      <x:c r="J7" s="975"/>
      <x:c r="K7" s="975"/>
      <x:c r="L7" s="568"/>
      <x:c r="M7" s="544" t="str">
        <x:v>Planned expenses</x:v>
      </x:c>
      <x:c r="N7" s="545" t="n">
        <x:f>Expenses!B27</x:f>
        <x:v>1865</x:v>
      </x:c>
    </x:row>
    <x:row r="8" ht="22" hidden="0" customHeight="1">
      <x:c r="A8" s="974"/>
      <x:c r="B8" s="974"/>
      <x:c r="C8" s="551"/>
      <x:c r="D8" s="974"/>
      <x:c r="E8" s="974"/>
      <x:c r="F8" s="551"/>
      <x:c r="G8" s="974"/>
      <x:c r="H8" s="974"/>
      <x:c r="I8" s="551"/>
      <x:c r="J8" s="975"/>
      <x:c r="K8" s="975"/>
      <x:c r="L8" s="568"/>
      <x:c r="M8" s="544" t="str">
        <x:v>Income variance</x:v>
      </x:c>
      <x:c r="N8" s="545" t="n">
        <x:f>N2-N6</x:f>
        <x:v>80</x:v>
      </x:c>
    </x:row>
    <x:row r="9" ht="8" hidden="0" customHeight="1">
      <x:c r="A9" s="309" t="str">
        <x:v>Savings Rate</x:v>
      </x:c>
      <x:c r="B9" s="309"/>
      <x:c r="C9" s="309"/>
      <x:c r="D9" s="309" t="str">
        <x:v>Essential Expenses</x:v>
      </x:c>
      <x:c r="E9" s="309"/>
      <x:c r="F9" s="309"/>
      <x:c r="G9" s="309" t="str">
        <x:v>Optional Spending Share</x:v>
      </x:c>
      <x:c r="H9" s="309"/>
      <x:c r="I9" s="309"/>
      <x:c r="J9" s="309" t="str">
        <x:v>Goal Progress</x:v>
      </x:c>
      <x:c r="K9" s="309"/>
      <x:c r="M9" s="544" t="str">
        <x:v>Expense variance</x:v>
      </x:c>
      <x:c r="N9" s="545" t="n">
        <x:f>N7-N3</x:f>
        <x:v>-108</x:v>
      </x:c>
    </x:row>
    <x:row r="10" ht="22" hidden="0" customHeight="1">
      <x:c r="A10" s="840"/>
      <x:c r="B10" s="840"/>
      <x:c r="C10" s="549"/>
      <x:c r="D10" s="840"/>
      <x:c r="E10" s="840"/>
      <x:c r="F10" s="549"/>
      <x:c r="G10" s="840"/>
      <x:c r="H10" s="840"/>
      <x:c r="I10" s="549"/>
      <x:c r="J10" s="840"/>
      <x:c r="K10" s="840"/>
      <x:c r="L10" s="556"/>
      <x:c r="M10" s="544" t="str">
        <x:v>Essential expenses</x:v>
      </x:c>
      <x:c r="N10" s="545" t="n">
        <x:f>Expenses!B30</x:f>
        <x:v>1355</x:v>
      </x:c>
    </x:row>
    <x:row r="11" ht="28" hidden="0" customHeight="1">
      <x:c r="A11" s="976" t="n">
        <x:f>N5</x:f>
        <x:v>0.32199312714776634</x:v>
      </x:c>
      <x:c r="B11" s="976"/>
      <x:c r="C11" s="565"/>
      <x:c r="D11" s="974" t="n">
        <x:f>N10</x:f>
        <x:v>1355</x:v>
      </x:c>
      <x:c r="E11" s="974"/>
      <x:c r="F11" s="551"/>
      <x:c r="G11" s="976" t="n">
        <x:f>N12</x:f>
        <x:v>0.31322858590978203</x:v>
      </x:c>
      <x:c r="H11" s="976"/>
      <x:c r="I11" s="565"/>
      <x:c r="J11" s="976" t="n">
        <x:f>N14</x:f>
        <x:v>0.24955752212389382</x:v>
      </x:c>
      <x:c r="K11" s="976"/>
      <x:c r="L11" s="567"/>
      <x:c r="M11" s="544" t="str">
        <x:v>Optional expenses</x:v>
      </x:c>
      <x:c r="N11" s="545" t="n">
        <x:f>Expenses!B31</x:f>
        <x:v>618</x:v>
      </x:c>
    </x:row>
    <x:row r="12" ht="28" hidden="0" customHeight="1">
      <x:c r="A12" s="976"/>
      <x:c r="B12" s="976"/>
      <x:c r="C12" s="565"/>
      <x:c r="D12" s="974"/>
      <x:c r="E12" s="974"/>
      <x:c r="F12" s="551"/>
      <x:c r="G12" s="976"/>
      <x:c r="H12" s="976"/>
      <x:c r="I12" s="565"/>
      <x:c r="J12" s="976"/>
      <x:c r="K12" s="976"/>
      <x:c r="L12" s="567"/>
      <x:c r="M12" s="544" t="str">
        <x:v>Optional spending share</x:v>
      </x:c>
      <x:c r="N12" s="546" t="n">
        <x:f>Expenses!B32</x:f>
        <x:v>0.31322858590978203</x:v>
      </x:c>
    </x:row>
    <x:row r="13" ht="22" hidden="0" customHeight="1">
      <x:c r="A13" s="976"/>
      <x:c r="B13" s="976"/>
      <x:c r="C13" s="565"/>
      <x:c r="D13" s="974"/>
      <x:c r="E13" s="974"/>
      <x:c r="F13" s="551"/>
      <x:c r="G13" s="976"/>
      <x:c r="H13" s="976"/>
      <x:c r="I13" s="565"/>
      <x:c r="J13" s="976"/>
      <x:c r="K13" s="976"/>
      <x:c r="L13" s="567"/>
      <x:c r="M13" s="544" t="str">
        <x:v>Emergency fund progress</x:v>
      </x:c>
      <x:c r="N13" s="546" t="n">
        <x:f>IFERROR(Inputs!B10/Inputs!B9,0)</x:f>
        <x:v>0.2833333333333333</x:v>
      </x:c>
    </x:row>
    <x:row r="14" ht="8" hidden="0" customHeight="1">
      <x:c r="A14" s="309" t="str">
        <x:v>Budget Health &amp; Recommendations</x:v>
      </x:c>
      <x:c r="B14" s="309"/>
      <x:c r="C14" s="309"/>
      <x:c r="D14" s="309"/>
      <x:c r="E14" s="309"/>
      <x:c r="F14" s="309"/>
      <x:c r="G14" s="309"/>
      <x:c r="H14" s="309"/>
      <x:c r="I14" s="309"/>
      <x:c r="J14" s="309"/>
      <x:c r="K14" s="309"/>
      <x:c r="M14" s="544" t="str">
        <x:v>Savings goals progress</x:v>
      </x:c>
      <x:c r="N14" s="546" t="n">
        <x:f>'Savings Goals'!B20</x:f>
        <x:v>0.24955752212389382</x:v>
      </x:c>
    </x:row>
    <x:row r="15" ht="22" hidden="0" customHeight="1">
      <x:c r="A15" s="845"/>
      <x:c r="B15" s="845"/>
      <x:c r="C15" s="845"/>
      <x:c r="D15" s="845"/>
      <x:c r="E15" s="845"/>
      <x:c r="F15" s="845"/>
      <x:c r="G15" s="845"/>
      <x:c r="H15" s="845"/>
      <x:c r="I15" s="845"/>
      <x:c r="J15" s="845"/>
      <x:c r="K15" s="845"/>
      <x:c r="L15" s="575"/>
      <x:c r="M15" s="544" t="str">
        <x:v>Largest category</x:v>
      </x:c>
      <x:c r="N15" s="544" t="str">
        <x:f>INDEX('Category Summary'!A5:A14,MATCH(MAX('Category Summary'!C5:C14),'Category Summary'!C5:C14,0))</x:f>
        <x:v>Housing</x:v>
      </x:c>
    </x:row>
    <x:row r="16" ht="34" hidden="0" customHeight="1">
      <x:c r="A16" s="847" t="str">
        <x:f>N18</x:f>
        <x:v>Strong month — the savings rate is healthy.</x:v>
      </x:c>
      <x:c r="B16" s="847"/>
      <x:c r="C16" s="847"/>
      <x:c r="D16" s="847"/>
      <x:c r="E16" s="847"/>
      <x:c r="F16" s="847"/>
      <x:c r="G16" s="847"/>
      <x:c r="H16" s="847"/>
      <x:c r="I16" s="847"/>
      <x:c r="J16" s="847"/>
      <x:c r="K16" s="847"/>
      <x:c r="L16" s="585"/>
      <x:c r="M16" s="544" t="str">
        <x:v>Avg. category spending</x:v>
      </x:c>
      <x:c r="N16" s="545" t="n">
        <x:f>AVERAGE('Category Summary'!C5:C14)</x:f>
        <x:v>197.3</x:v>
      </x:c>
    </x:row>
    <x:row r="17" ht="8" hidden="0" customHeight="1">
      <x:c r="A17" s="847"/>
      <x:c r="B17" s="847"/>
      <x:c r="C17" s="847"/>
      <x:c r="D17" s="847"/>
      <x:c r="E17" s="847"/>
      <x:c r="F17" s="847"/>
      <x:c r="G17" s="847"/>
      <x:c r="H17" s="847"/>
      <x:c r="I17" s="847"/>
      <x:c r="J17" s="847"/>
      <x:c r="K17" s="847"/>
      <x:c r="L17" s="585"/>
      <x:c r="M17" s="544" t="str">
        <x:v>Budget score</x:v>
      </x:c>
      <x:c r="N17" s="547" t="n">
        <x:f>MIN(100,ROUND(IF(N4&gt;0,25,0)+MIN(IFERROR(N5/Inputs!B8,0),1)*30+IF(N12&lt;0.3,20,IF(N12&lt;0.5,10,0))+N14*25,0))</x:f>
        <x:v>71</x:v>
      </x:c>
    </x:row>
    <x:row r="18" ht="18" hidden="0" customHeight="1">
      <x:c r="A18" s="847"/>
      <x:c r="B18" s="847"/>
      <x:c r="C18" s="847"/>
      <x:c r="D18" s="847"/>
      <x:c r="E18" s="847"/>
      <x:c r="F18" s="847"/>
      <x:c r="G18" s="847"/>
      <x:c r="H18" s="847"/>
      <x:c r="I18" s="847"/>
      <x:c r="J18" s="847"/>
      <x:c r="K18" s="847"/>
      <x:c r="L18" s="585"/>
      <x:c r="M18" s="544" t="str">
        <x:v>Status</x:v>
      </x:c>
      <x:c r="N18" s="544" t="str">
        <x:f>IF(N4&lt;0,"Expenses exceeded income — reduce spending.",IF(N5&gt;=0.2,"Strong month — the savings rate is healthy.",IF(N5&gt;=0.1,"Stable month — expenses can still be optimized.","Review expenses and increase savings.")))</x:f>
        <x:v>Strong month — the savings rate is healthy.</x:v>
      </x:c>
    </x:row>
    <x:row r="19" ht="34" hidden="0" customHeight="1">
      <x:c r="A19" s="849" t="str">
        <x:f>IF(N17&gt;=80,"Excellent financial direction — keep following the current plan.",IF(N17&gt;=60,"Stable, but a few expense categories can be optimized.",IF(N17&gt;=40,"Review spending and strengthen the savings plan.","The budget needs correction — start by reducing optional spending.")))</x:f>
        <x:v>Stable, but a few expense categories can be optimized.</x:v>
      </x:c>
      <x:c r="B19" s="849"/>
      <x:c r="C19" s="849"/>
      <x:c r="D19" s="849"/>
      <x:c r="E19" s="849"/>
      <x:c r="F19" s="849"/>
      <x:c r="G19" s="849"/>
      <x:c r="H19" s="849"/>
      <x:c r="I19" s="849"/>
      <x:c r="J19" s="849"/>
      <x:c r="K19" s="849"/>
      <x:c r="L19" s="592"/>
      <x:c r="M19" s="544"/>
      <x:c r="N19" s="544"/>
    </x:row>
    <x:row r="20" ht="18" hidden="0" customHeight="1">
      <x:c r="A20" s="849"/>
      <x:c r="B20" s="849"/>
      <x:c r="C20" s="849"/>
      <x:c r="D20" s="849"/>
      <x:c r="E20" s="849"/>
      <x:c r="F20" s="849"/>
      <x:c r="G20" s="849"/>
      <x:c r="H20" s="849"/>
      <x:c r="I20" s="849"/>
      <x:c r="J20" s="849"/>
      <x:c r="K20" s="849"/>
      <x:c r="L20" s="592"/>
      <x:c r="M20" s="544"/>
      <x:c r="N20" s="544"/>
    </x:row>
    <x:row r="21" ht="8" hidden="0" customHeight="1">
      <x:c r="A21" s="295"/>
      <x:c r="B21" s="295"/>
      <x:c r="C21" s="295"/>
      <x:c r="D21" s="295"/>
      <x:c r="E21" s="295"/>
      <x:c r="F21" s="295"/>
      <x:c r="G21" s="295"/>
      <x:c r="H21" s="295"/>
      <x:c r="I21" s="295"/>
      <x:c r="J21" s="295"/>
      <x:c r="K21" s="295"/>
      <x:c r="M21" s="544"/>
      <x:c r="N21" s="544"/>
    </x:row>
    <x:row r="22" ht="22" hidden="0" customHeight="1">
      <x:c r="A22" s="845" t="str">
        <x:v>Category Analysis</x:v>
      </x:c>
      <x:c r="B22" s="845"/>
      <x:c r="C22" s="845"/>
      <x:c r="D22" s="845"/>
      <x:c r="E22" s="845"/>
      <x:c r="F22" s="295"/>
      <x:c r="G22" s="845" t="str">
        <x:v>Savings Goals</x:v>
      </x:c>
      <x:c r="H22" s="845"/>
      <x:c r="I22" s="845"/>
      <x:c r="J22" s="845"/>
      <x:c r="K22" s="845"/>
      <x:c r="M22" s="544"/>
      <x:c r="N22" s="544"/>
    </x:row>
    <x:row r="23" ht="24" hidden="0" customHeight="1">
      <x:c r="A23" s="953" t="str">
        <x:v>Category</x:v>
      </x:c>
      <x:c r="B23" s="953" t="str">
        <x:v>Planned</x:v>
      </x:c>
      <x:c r="C23" s="953" t="str">
        <x:v>Actual</x:v>
      </x:c>
      <x:c r="D23" s="953" t="str">
        <x:v>Share</x:v>
      </x:c>
      <x:c r="E23" s="953" t="str">
        <x:v>Status</x:v>
      </x:c>
      <x:c r="F23" s="956"/>
      <x:c r="G23" s="955" t="str">
        <x:v>Goal</x:v>
      </x:c>
      <x:c r="H23" s="955" t="str">
        <x:v>Amount</x:v>
      </x:c>
      <x:c r="I23" s="955" t="str">
        <x:v>Saved</x:v>
      </x:c>
      <x:c r="J23" s="955" t="str">
        <x:v>Progress</x:v>
      </x:c>
      <x:c r="K23" s="955" t="str">
        <x:v>Status</x:v>
      </x:c>
      <x:c r="M23" s="544"/>
      <x:c r="N23" s="544"/>
    </x:row>
    <x:row r="24" ht="21" hidden="0" customHeight="1">
      <x:c r="A24" s="920" t="str">
        <x:f>'Category Summary'!A5</x:f>
        <x:v>Housing</x:v>
      </x:c>
      <x:c r="B24" s="958" t="n">
        <x:f>'Category Summary'!B5</x:f>
        <x:v>700</x:v>
      </x:c>
      <x:c r="C24" s="958" t="n">
        <x:f>'Category Summary'!C5</x:f>
        <x:v>700</x:v>
      </x:c>
      <x:c r="D24" s="959" t="n">
        <x:f>'Category Summary'!E5</x:f>
        <x:v>0.3547896604156107</x:v>
      </x:c>
      <x:c r="E24" s="960" t="str">
        <x:f>'Category Summary'!F5</x:f>
        <x:v>On plan</x:v>
      </x:c>
      <x:c r="F24" s="956"/>
      <x:c r="G24" s="920" t="str">
        <x:f>'Savings Goals'!A5</x:f>
        <x:v>Emergency Fund</x:v>
      </x:c>
      <x:c r="H24" s="958" t="n">
        <x:f>'Savings Goals'!B5</x:f>
        <x:v>3000</x:v>
      </x:c>
      <x:c r="I24" s="958" t="n">
        <x:f>'Savings Goals'!C5</x:f>
        <x:v>850</x:v>
      </x:c>
      <x:c r="J24" s="959" t="n">
        <x:f>'Savings Goals'!F5</x:f>
        <x:v>0.2833333333333333</x:v>
      </x:c>
      <x:c r="K24" s="960" t="str">
        <x:f>'Savings Goals'!G5</x:f>
        <x:v>Needs attention</x:v>
      </x:c>
      <x:c r="M24" s="544"/>
      <x:c r="N24" s="544"/>
    </x:row>
    <x:row r="25" ht="21" hidden="0" customHeight="1">
      <x:c r="A25" s="920" t="str">
        <x:f>'Category Summary'!A6</x:f>
        <x:v>Food</x:v>
      </x:c>
      <x:c r="B25" s="958" t="n">
        <x:f>'Category Summary'!B6</x:f>
        <x:v>300</x:v>
      </x:c>
      <x:c r="C25" s="958" t="n">
        <x:f>'Category Summary'!C6</x:f>
        <x:v>345</x:v>
      </x:c>
      <x:c r="D25" s="959" t="n">
        <x:f>'Category Summary'!E6</x:f>
        <x:v>0.17486061834769387</x:v>
      </x:c>
      <x:c r="E25" s="960" t="str">
        <x:f>'Category Summary'!F6</x:f>
        <x:v>Over budget</x:v>
      </x:c>
      <x:c r="F25" s="956"/>
      <x:c r="G25" s="920" t="str">
        <x:f>'Savings Goals'!A6</x:f>
        <x:v>Laptop / Equipment</x:v>
      </x:c>
      <x:c r="H25" s="958" t="n">
        <x:f>'Savings Goals'!B6</x:f>
        <x:v>1500</x:v>
      </x:c>
      <x:c r="I25" s="958" t="n">
        <x:f>'Savings Goals'!C6</x:f>
        <x:v>420</x:v>
      </x:c>
      <x:c r="J25" s="959" t="n">
        <x:f>'Savings Goals'!F6</x:f>
        <x:v>0.28</x:v>
      </x:c>
      <x:c r="K25" s="960" t="str">
        <x:f>'Savings Goals'!G6</x:f>
        <x:v>Needs attention</x:v>
      </x:c>
      <x:c r="M25" s="544"/>
      <x:c r="N25" s="544"/>
    </x:row>
    <x:row r="26" ht="21" hidden="0" customHeight="1">
      <x:c r="A26" s="920" t="str">
        <x:f>'Category Summary'!A7</x:f>
        <x:v>Transport</x:v>
      </x:c>
      <x:c r="B26" s="958" t="n">
        <x:f>'Category Summary'!B7</x:f>
        <x:v>120</x:v>
      </x:c>
      <x:c r="C26" s="958" t="n">
        <x:f>'Category Summary'!C7</x:f>
        <x:v>95</x:v>
      </x:c>
      <x:c r="D26" s="959" t="n">
        <x:f>'Category Summary'!E7</x:f>
        <x:v>0.0481500253421186</x:v>
      </x:c>
      <x:c r="E26" s="960" t="str">
        <x:f>'Category Summary'!F7</x:f>
        <x:v>On plan</x:v>
      </x:c>
      <x:c r="F26" s="956"/>
      <x:c r="G26" s="920" t="str">
        <x:f>'Savings Goals'!A7</x:f>
        <x:v>Vacation</x:v>
      </x:c>
      <x:c r="H26" s="958" t="n">
        <x:f>'Savings Goals'!B7</x:f>
        <x:v>1200</x:v>
      </x:c>
      <x:c r="I26" s="958" t="n">
        <x:f>'Savings Goals'!C7</x:f>
        <x:v>300</x:v>
      </x:c>
      <x:c r="J26" s="959" t="n">
        <x:f>'Savings Goals'!F7</x:f>
        <x:v>0.25</x:v>
      </x:c>
      <x:c r="K26" s="960" t="str">
        <x:f>'Savings Goals'!G7</x:f>
        <x:v>Needs attention</x:v>
      </x:c>
      <x:c r="M26" s="544"/>
      <x:c r="N26" s="544"/>
    </x:row>
    <x:row r="27" ht="21" hidden="0" customHeight="1">
      <x:c r="A27" s="920" t="str">
        <x:f>'Category Summary'!A8</x:f>
        <x:v>Utilities</x:v>
      </x:c>
      <x:c r="B27" s="958" t="n">
        <x:f>'Category Summary'!B8</x:f>
        <x:v>160</x:v>
      </x:c>
      <x:c r="C27" s="958" t="n">
        <x:f>'Category Summary'!C8</x:f>
        <x:v>150</x:v>
      </x:c>
      <x:c r="D27" s="959" t="n">
        <x:f>'Category Summary'!E8</x:f>
        <x:v>0.07602635580334516</x:v>
      </x:c>
      <x:c r="E27" s="960" t="str">
        <x:f>'Category Summary'!F8</x:f>
        <x:v>On plan</x:v>
      </x:c>
      <x:c r="F27" s="956"/>
      <x:c r="G27" s="920" t="str">
        <x:f>'Savings Goals'!A8</x:f>
        <x:v>Investment account</x:v>
      </x:c>
      <x:c r="H27" s="958" t="n">
        <x:f>'Savings Goals'!B8</x:f>
        <x:v>5000</x:v>
      </x:c>
      <x:c r="I27" s="958" t="n">
        <x:f>'Savings Goals'!C8</x:f>
        <x:v>1100</x:v>
      </x:c>
      <x:c r="J27" s="959" t="n">
        <x:f>'Savings Goals'!F8</x:f>
        <x:v>0.22</x:v>
      </x:c>
      <x:c r="K27" s="960" t="str">
        <x:f>'Savings Goals'!G8</x:f>
        <x:v>Needs attention</x:v>
      </x:c>
      <x:c r="M27" s="544"/>
      <x:c r="N27" s="544"/>
    </x:row>
    <x:row r="28" ht="21" hidden="0" customHeight="1">
      <x:c r="A28" s="920" t="str">
        <x:f>'Category Summary'!A9</x:f>
        <x:v>Subscriptions</x:v>
      </x:c>
      <x:c r="B28" s="958" t="n">
        <x:f>'Category Summary'!B9</x:f>
        <x:v>60</x:v>
      </x:c>
      <x:c r="C28" s="958" t="n">
        <x:f>'Category Summary'!C9</x:f>
        <x:v>78</x:v>
      </x:c>
      <x:c r="D28" s="959" t="n">
        <x:f>'Category Summary'!E9</x:f>
        <x:v>0.039533705017739486</x:v>
      </x:c>
      <x:c r="E28" s="960" t="str">
        <x:f>'Category Summary'!F9</x:f>
        <x:v>Over budget</x:v>
      </x:c>
      <x:c r="F28" s="956"/>
      <x:c r="G28" s="924" t="str">
        <x:f>'Savings Goals'!A9</x:f>
        <x:v>Course / Education</x:v>
      </x:c>
      <x:c r="H28" s="962" t="n">
        <x:f>'Savings Goals'!B9</x:f>
        <x:v>600</x:v>
      </x:c>
      <x:c r="I28" s="962" t="n">
        <x:f>'Savings Goals'!C9</x:f>
        <x:v>150</x:v>
      </x:c>
      <x:c r="J28" s="963" t="n">
        <x:f>'Savings Goals'!F9</x:f>
        <x:v>0.25</x:v>
      </x:c>
      <x:c r="K28" s="964" t="str">
        <x:f>'Savings Goals'!G9</x:f>
        <x:v>Needs attention</x:v>
      </x:c>
      <x:c r="M28" s="544"/>
      <x:c r="N28" s="544"/>
    </x:row>
    <x:row r="29" ht="21" hidden="0" customHeight="1">
      <x:c r="A29" s="920" t="str">
        <x:f>'Category Summary'!A10</x:f>
        <x:v>Health</x:v>
      </x:c>
      <x:c r="B29" s="958" t="n">
        <x:f>'Category Summary'!B10</x:f>
        <x:v>80</x:v>
      </x:c>
      <x:c r="C29" s="958" t="n">
        <x:f>'Category Summary'!C10</x:f>
        <x:v>65</x:v>
      </x:c>
      <x:c r="D29" s="959" t="n">
        <x:f>'Category Summary'!E10</x:f>
        <x:v>0.03294475418144957</x:v>
      </x:c>
      <x:c r="E29" s="960" t="str">
        <x:f>'Category Summary'!F10</x:f>
        <x:v>On plan</x:v>
      </x:c>
      <x:c r="F29" s="956"/>
      <x:c r="G29" s="920"/>
      <x:c r="H29" s="958"/>
      <x:c r="I29" s="958"/>
      <x:c r="J29" s="959"/>
      <x:c r="K29" s="960"/>
      <x:c r="M29" s="544"/>
      <x:c r="N29" s="544"/>
    </x:row>
    <x:row r="30" ht="21" hidden="0" customHeight="1">
      <x:c r="A30" s="920" t="str">
        <x:f>'Category Summary'!A11</x:f>
        <x:v>Education</x:v>
      </x:c>
      <x:c r="B30" s="958" t="n">
        <x:f>'Category Summary'!B11</x:f>
        <x:v>100</x:v>
      </x:c>
      <x:c r="C30" s="958" t="n">
        <x:f>'Category Summary'!C11</x:f>
        <x:v>120</x:v>
      </x:c>
      <x:c r="D30" s="959" t="n">
        <x:f>'Category Summary'!E11</x:f>
        <x:v>0.060821084642676125</x:v>
      </x:c>
      <x:c r="E30" s="960" t="str">
        <x:f>'Category Summary'!F11</x:f>
        <x:v>Over budget</x:v>
      </x:c>
      <x:c r="F30" s="956"/>
      <x:c r="G30" s="920"/>
      <x:c r="H30" s="958"/>
      <x:c r="I30" s="958"/>
      <x:c r="J30" s="959"/>
      <x:c r="K30" s="960"/>
      <x:c r="M30" s="544"/>
      <x:c r="N30" s="544"/>
    </x:row>
    <x:row r="31" ht="21" hidden="0" customHeight="1">
      <x:c r="A31" s="920" t="str">
        <x:f>'Category Summary'!A12</x:f>
        <x:v>Entertainment</x:v>
      </x:c>
      <x:c r="B31" s="958" t="n">
        <x:f>'Category Summary'!B12</x:f>
        <x:v>120</x:v>
      </x:c>
      <x:c r="C31" s="958" t="n">
        <x:f>'Category Summary'!C12</x:f>
        <x:v>170</x:v>
      </x:c>
      <x:c r="D31" s="959" t="n">
        <x:f>'Category Summary'!E12</x:f>
        <x:v>0.08616320324379118</x:v>
      </x:c>
      <x:c r="E31" s="960" t="str">
        <x:f>'Category Summary'!F12</x:f>
        <x:v>Over budget</x:v>
      </x:c>
      <x:c r="F31" s="956"/>
      <x:c r="G31" s="920"/>
      <x:c r="H31" s="958"/>
      <x:c r="I31" s="958"/>
      <x:c r="J31" s="959"/>
      <x:c r="K31" s="960"/>
      <x:c r="M31" s="544"/>
      <x:c r="N31" s="544"/>
    </x:row>
    <x:row r="32" ht="21" hidden="0" customHeight="1">
      <x:c r="A32" s="920" t="str">
        <x:f>'Category Summary'!A13</x:f>
        <x:v>Shopping</x:v>
      </x:c>
      <x:c r="B32" s="958" t="n">
        <x:f>'Category Summary'!B13</x:f>
        <x:v>150</x:v>
      </x:c>
      <x:c r="C32" s="958" t="n">
        <x:f>'Category Summary'!C13</x:f>
        <x:v>210</x:v>
      </x:c>
      <x:c r="D32" s="959" t="n">
        <x:f>'Category Summary'!E13</x:f>
        <x:v>0.10643689812468322</x:v>
      </x:c>
      <x:c r="E32" s="960" t="str">
        <x:f>'Category Summary'!F13</x:f>
        <x:v>Over budget</x:v>
      </x:c>
      <x:c r="F32" s="956"/>
      <x:c r="G32" s="920"/>
      <x:c r="H32" s="958"/>
      <x:c r="I32" s="958"/>
      <x:c r="J32" s="959"/>
      <x:c r="K32" s="960"/>
      <x:c r="M32" s="544"/>
      <x:c r="N32" s="544"/>
    </x:row>
    <x:row r="33" ht="21" hidden="0" customHeight="1">
      <x:c r="A33" s="924" t="str">
        <x:f>'Category Summary'!A14</x:f>
        <x:v>Other</x:v>
      </x:c>
      <x:c r="B33" s="962" t="n">
        <x:f>'Category Summary'!B14</x:f>
        <x:v>75</x:v>
      </x:c>
      <x:c r="C33" s="962" t="n">
        <x:f>'Category Summary'!C14</x:f>
        <x:v>40</x:v>
      </x:c>
      <x:c r="D33" s="963" t="n">
        <x:f>'Category Summary'!E14</x:f>
        <x:v>0.02027369488089204</x:v>
      </x:c>
      <x:c r="E33" s="964" t="str">
        <x:f>'Category Summary'!F14</x:f>
        <x:v>On plan</x:v>
      </x:c>
      <x:c r="F33" s="956"/>
      <x:c r="G33" s="920"/>
      <x:c r="H33" s="958"/>
      <x:c r="I33" s="958"/>
      <x:c r="J33" s="959"/>
      <x:c r="K33" s="960"/>
      <x:c r="M33" s="544"/>
      <x:c r="N33" s="544"/>
    </x:row>
    <x:row r="34" ht="15" hidden="0" customHeight="1">
      <x:c r="A34" s="295"/>
      <x:c r="B34" s="295"/>
      <x:c r="C34" s="295"/>
      <x:c r="D34" s="295"/>
      <x:c r="E34" s="295"/>
      <x:c r="F34" s="295"/>
      <x:c r="G34" s="295"/>
      <x:c r="H34" s="295"/>
      <x:c r="I34" s="295"/>
      <x:c r="J34" s="295"/>
      <x:c r="K34" s="295"/>
    </x:row>
    <x:row r="35" ht="15" hidden="0" customHeight="1">
      <x:c r="A35" s="295"/>
      <x:c r="B35" s="295"/>
      <x:c r="C35" s="295"/>
      <x:c r="D35" s="295"/>
      <x:c r="E35" s="295"/>
      <x:c r="F35" s="295"/>
      <x:c r="G35" s="295"/>
      <x:c r="H35" s="295"/>
      <x:c r="I35" s="295"/>
      <x:c r="J35" s="295"/>
      <x:c r="K35" s="295"/>
    </x:row>
    <x:row r="36" ht="15" hidden="0" customHeight="1">
      <x:c r="A36" s="295"/>
      <x:c r="B36" s="295"/>
      <x:c r="C36" s="295"/>
      <x:c r="D36" s="295"/>
      <x:c r="E36" s="295"/>
      <x:c r="F36" s="295"/>
      <x:c r="G36" s="295"/>
      <x:c r="H36" s="295"/>
      <x:c r="I36" s="295"/>
      <x:c r="J36" s="295"/>
      <x:c r="K36" s="295"/>
    </x:row>
    <x:row r="37" ht="15" hidden="0" customHeight="1">
      <x:c r="A37" s="295"/>
      <x:c r="B37" s="295"/>
      <x:c r="C37" s="295"/>
      <x:c r="D37" s="295"/>
      <x:c r="E37" s="295"/>
      <x:c r="F37" s="295"/>
      <x:c r="G37" s="295"/>
      <x:c r="H37" s="295"/>
      <x:c r="I37" s="295"/>
      <x:c r="J37" s="295"/>
      <x:c r="K37" s="295"/>
    </x:row>
    <x:row r="38" ht="15" hidden="0" customHeight="1">
      <x:c r="A38" s="295"/>
      <x:c r="B38" s="295"/>
      <x:c r="C38" s="295"/>
      <x:c r="D38" s="295"/>
      <x:c r="E38" s="295"/>
      <x:c r="F38" s="295"/>
      <x:c r="G38" s="295"/>
      <x:c r="H38" s="295"/>
      <x:c r="I38" s="295"/>
      <x:c r="J38" s="295"/>
      <x:c r="K38" s="295"/>
    </x:row>
    <x:row r="39" ht="15" hidden="0" customHeight="1">
      <x:c r="A39" s="295"/>
      <x:c r="B39" s="295"/>
      <x:c r="C39" s="295"/>
      <x:c r="D39" s="295"/>
      <x:c r="E39" s="295"/>
      <x:c r="F39" s="295"/>
      <x:c r="G39" s="295"/>
      <x:c r="H39" s="295"/>
      <x:c r="I39" s="295"/>
      <x:c r="J39" s="295"/>
      <x:c r="K39" s="295"/>
    </x:row>
    <x:row r="40" ht="15" hidden="0" customHeight="1">
      <x:c r="A40" s="295"/>
      <x:c r="B40" s="295"/>
      <x:c r="C40" s="295"/>
      <x:c r="D40" s="295"/>
      <x:c r="E40" s="295"/>
      <x:c r="F40" s="295"/>
      <x:c r="G40" s="295"/>
      <x:c r="H40" s="295"/>
      <x:c r="I40" s="295"/>
      <x:c r="J40" s="295"/>
      <x:c r="K40" s="295"/>
    </x:row>
    <x:row r="41" ht="15" hidden="0" customHeight="1">
      <x:c r="A41" s="315"/>
      <x:c r="B41" s="315"/>
      <x:c r="C41" s="315"/>
      <x:c r="D41" s="315"/>
      <x:c r="E41" s="315"/>
      <x:c r="F41" s="315"/>
      <x:c r="G41" s="315"/>
      <x:c r="H41" s="315"/>
      <x:c r="I41" s="315"/>
      <x:c r="J41" s="315"/>
      <x:c r="K41" s="315"/>
    </x:row>
    <x:row r="42" ht="15" hidden="0" customHeight="1">
      <x:c r="A42" s="315"/>
      <x:c r="B42" s="315"/>
      <x:c r="C42" s="315"/>
      <x:c r="D42" s="315"/>
      <x:c r="E42" s="315"/>
      <x:c r="F42" s="315"/>
      <x:c r="G42" s="315"/>
      <x:c r="H42" s="315"/>
      <x:c r="I42" s="315"/>
      <x:c r="J42" s="315"/>
      <x:c r="K42" s="315"/>
    </x:row>
    <x:row r="43" ht="15" hidden="0" customHeight="1">
      <x:c r="A43" s="315"/>
      <x:c r="B43" s="315"/>
      <x:c r="C43" s="315"/>
      <x:c r="D43" s="315"/>
      <x:c r="E43" s="315"/>
      <x:c r="F43" s="315"/>
      <x:c r="G43" s="315"/>
      <x:c r="H43" s="315"/>
      <x:c r="I43" s="315"/>
      <x:c r="J43" s="315"/>
      <x:c r="K43" s="315"/>
    </x:row>
    <x:row r="44" ht="15" hidden="0" customHeight="1">
      <x:c r="A44" s="315"/>
      <x:c r="B44" s="315"/>
      <x:c r="C44" s="315"/>
      <x:c r="D44" s="315"/>
      <x:c r="E44" s="315"/>
      <x:c r="F44" s="315"/>
      <x:c r="G44" s="315"/>
      <x:c r="H44" s="315"/>
      <x:c r="I44" s="315"/>
      <x:c r="J44" s="315"/>
      <x:c r="K44" s="315"/>
    </x:row>
    <x:row r="45" ht="15" hidden="0" customHeight="1">
      <x:c r="A45" s="315"/>
      <x:c r="B45" s="315"/>
      <x:c r="C45" s="315"/>
      <x:c r="D45" s="315"/>
      <x:c r="E45" s="315"/>
      <x:c r="F45" s="315"/>
      <x:c r="G45" s="315"/>
      <x:c r="H45" s="315"/>
      <x:c r="I45" s="315"/>
      <x:c r="J45" s="315"/>
      <x:c r="K45" s="315"/>
    </x:row>
    <x:row r="46" ht="15" hidden="0" customHeight="1">
      <x:c r="A46" s="315"/>
      <x:c r="B46" s="315"/>
      <x:c r="C46" s="315"/>
      <x:c r="D46" s="315"/>
      <x:c r="E46" s="315"/>
      <x:c r="F46" s="315"/>
      <x:c r="G46" s="315"/>
      <x:c r="H46" s="315"/>
      <x:c r="I46" s="315"/>
      <x:c r="J46" s="315"/>
      <x:c r="K46" s="315"/>
    </x:row>
    <x:row r="47" ht="15" hidden="0" customHeight="1">
      <x:c r="A47" s="315"/>
      <x:c r="B47" s="315"/>
      <x:c r="C47" s="315"/>
      <x:c r="D47" s="315"/>
      <x:c r="E47" s="315"/>
      <x:c r="F47" s="315"/>
      <x:c r="G47" s="315"/>
      <x:c r="H47" s="315"/>
      <x:c r="I47" s="315"/>
      <x:c r="J47" s="315"/>
      <x:c r="K47" s="315"/>
    </x:row>
    <x:row r="48" ht="15" hidden="0" customHeight="1">
      <x:c r="A48" s="315"/>
      <x:c r="B48" s="315"/>
      <x:c r="C48" s="315"/>
      <x:c r="D48" s="315"/>
      <x:c r="E48" s="315"/>
      <x:c r="F48" s="315"/>
      <x:c r="G48" s="315"/>
      <x:c r="H48" s="315"/>
      <x:c r="I48" s="315"/>
      <x:c r="J48" s="315"/>
      <x:c r="K48" s="315"/>
    </x:row>
    <x:row r="49" ht="15" hidden="0" customHeight="1">
      <x:c r="A49" s="315"/>
      <x:c r="B49" s="315"/>
      <x:c r="C49" s="315"/>
      <x:c r="D49" s="315"/>
      <x:c r="E49" s="315"/>
      <x:c r="F49" s="315"/>
      <x:c r="G49" s="315"/>
      <x:c r="H49" s="315"/>
      <x:c r="I49" s="315"/>
      <x:c r="J49" s="315"/>
      <x:c r="K49" s="315"/>
    </x:row>
    <x:row r="50" ht="15" hidden="0" customHeight="1">
      <x:c r="A50" s="315"/>
      <x:c r="B50" s="315"/>
      <x:c r="C50" s="315"/>
      <x:c r="D50" s="315"/>
      <x:c r="E50" s="315"/>
      <x:c r="F50" s="315"/>
      <x:c r="G50" s="315"/>
      <x:c r="H50" s="315"/>
      <x:c r="I50" s="315"/>
      <x:c r="J50" s="315"/>
      <x:c r="K50" s="315"/>
    </x:row>
    <x:row r="51" ht="15" hidden="0" customHeight="1">
      <x:c r="A51" s="315"/>
      <x:c r="B51" s="315"/>
      <x:c r="C51" s="315"/>
      <x:c r="D51" s="315"/>
      <x:c r="E51" s="315"/>
      <x:c r="F51" s="315"/>
      <x:c r="G51" s="315"/>
      <x:c r="H51" s="315"/>
      <x:c r="I51" s="315"/>
      <x:c r="J51" s="315"/>
      <x:c r="K51" s="315"/>
    </x:row>
    <x:row r="52" ht="15" hidden="0" customHeight="1">
      <x:c r="A52" s="315"/>
      <x:c r="B52" s="315"/>
      <x:c r="C52" s="315"/>
      <x:c r="D52" s="315"/>
      <x:c r="E52" s="315"/>
      <x:c r="F52" s="315"/>
      <x:c r="G52" s="315"/>
      <x:c r="H52" s="315"/>
      <x:c r="I52" s="315"/>
      <x:c r="J52" s="315"/>
      <x:c r="K52" s="315"/>
    </x:row>
    <x:row r="53" ht="15" hidden="0" customHeight="1">
      <x:c r="A53" s="315"/>
      <x:c r="B53" s="315"/>
      <x:c r="C53" s="315"/>
      <x:c r="D53" s="315"/>
      <x:c r="E53" s="315"/>
      <x:c r="F53" s="315"/>
      <x:c r="G53" s="315"/>
      <x:c r="H53" s="315"/>
      <x:c r="I53" s="315"/>
      <x:c r="J53" s="315"/>
      <x:c r="K53" s="315"/>
    </x:row>
    <x:row r="54" ht="15" hidden="0" customHeight="1">
      <x:c r="A54" s="315"/>
      <x:c r="B54" s="315"/>
      <x:c r="C54" s="315"/>
      <x:c r="D54" s="315"/>
      <x:c r="E54" s="315"/>
      <x:c r="F54" s="315"/>
      <x:c r="G54" s="315"/>
      <x:c r="H54" s="315"/>
      <x:c r="I54" s="315"/>
      <x:c r="J54" s="315"/>
      <x:c r="K54" s="315"/>
    </x:row>
    <x:row r="55" ht="15" hidden="0" customHeight="1">
      <x:c r="A55" s="315"/>
      <x:c r="B55" s="315"/>
      <x:c r="C55" s="315"/>
      <x:c r="D55" s="315"/>
      <x:c r="E55" s="315"/>
      <x:c r="F55" s="315"/>
      <x:c r="G55" s="315"/>
      <x:c r="H55" s="315"/>
      <x:c r="I55" s="315"/>
      <x:c r="J55" s="315"/>
      <x:c r="K55" s="315"/>
    </x:row>
    <x:row r="56" ht="15" hidden="0" customHeight="1">
      <x:c r="A56" s="315"/>
      <x:c r="B56" s="315"/>
      <x:c r="C56" s="315"/>
      <x:c r="D56" s="315"/>
      <x:c r="E56" s="315"/>
      <x:c r="F56" s="315"/>
      <x:c r="G56" s="315"/>
      <x:c r="H56" s="315"/>
      <x:c r="I56" s="315"/>
      <x:c r="J56" s="315"/>
      <x:c r="K56" s="315"/>
    </x:row>
    <x:row r="57" ht="15" hidden="0" customHeight="1">
      <x:c r="A57" s="315"/>
      <x:c r="B57" s="315"/>
      <x:c r="C57" s="315"/>
      <x:c r="D57" s="315"/>
      <x:c r="E57" s="315"/>
      <x:c r="F57" s="315"/>
      <x:c r="G57" s="315"/>
      <x:c r="H57" s="315"/>
      <x:c r="I57" s="315"/>
      <x:c r="J57" s="315"/>
      <x:c r="K57" s="315"/>
    </x:row>
    <x:row r="58" ht="15" hidden="0" customHeight="1">
      <x:c r="A58" s="315"/>
      <x:c r="B58" s="315"/>
      <x:c r="C58" s="315"/>
      <x:c r="D58" s="315"/>
      <x:c r="E58" s="315"/>
      <x:c r="F58" s="315"/>
      <x:c r="G58" s="315"/>
      <x:c r="H58" s="315"/>
      <x:c r="I58" s="315"/>
      <x:c r="J58" s="315"/>
      <x:c r="K58" s="315"/>
    </x:row>
    <x:row r="59" ht="15" hidden="0" customHeight="1">
      <x:c r="A59" s="315"/>
      <x:c r="B59" s="315"/>
      <x:c r="C59" s="315"/>
      <x:c r="D59" s="315"/>
      <x:c r="E59" s="315"/>
      <x:c r="F59" s="315"/>
      <x:c r="G59" s="315"/>
      <x:c r="H59" s="315"/>
      <x:c r="I59" s="315"/>
      <x:c r="J59" s="315"/>
      <x:c r="K59" s="315"/>
    </x:row>
    <x:row r="60" ht="15" hidden="0" customHeight="1">
      <x:c r="A60" s="315"/>
      <x:c r="B60" s="315"/>
      <x:c r="C60" s="315"/>
      <x:c r="D60" s="315"/>
      <x:c r="E60" s="315"/>
      <x:c r="F60" s="315"/>
      <x:c r="G60" s="315"/>
      <x:c r="H60" s="315"/>
      <x:c r="I60" s="315"/>
      <x:c r="J60" s="315"/>
      <x:c r="K60" s="315"/>
    </x:row>
    <x:row r="61" ht="15" hidden="0" customHeight="1">
      <x:c r="A61" s="315"/>
      <x:c r="B61" s="315"/>
      <x:c r="C61" s="315"/>
      <x:c r="D61" s="315"/>
      <x:c r="E61" s="315"/>
      <x:c r="F61" s="315"/>
      <x:c r="G61" s="315"/>
      <x:c r="H61" s="315"/>
      <x:c r="I61" s="315"/>
      <x:c r="J61" s="315"/>
      <x:c r="K61" s="315"/>
    </x:row>
    <x:row r="62" ht="15" hidden="0" customHeight="1">
      <x:c r="A62" s="315"/>
      <x:c r="B62" s="315"/>
      <x:c r="C62" s="315"/>
      <x:c r="D62" s="315"/>
      <x:c r="E62" s="315"/>
      <x:c r="F62" s="315"/>
      <x:c r="G62" s="315"/>
      <x:c r="H62" s="315"/>
      <x:c r="I62" s="315"/>
      <x:c r="J62" s="315"/>
      <x:c r="K62" s="315"/>
    </x:row>
    <x:row r="63" ht="15" hidden="0" customHeight="1">
      <x:c r="A63" s="315"/>
      <x:c r="B63" s="315"/>
      <x:c r="C63" s="315"/>
      <x:c r="D63" s="315"/>
      <x:c r="E63" s="315"/>
      <x:c r="F63" s="315"/>
      <x:c r="G63" s="315"/>
      <x:c r="H63" s="315"/>
      <x:c r="I63" s="315"/>
      <x:c r="J63" s="315"/>
      <x:c r="K63" s="315"/>
    </x:row>
    <x:row r="64" ht="15" hidden="0" customHeight="1">
      <x:c r="A64" s="315"/>
      <x:c r="B64" s="315"/>
      <x:c r="C64" s="315"/>
      <x:c r="D64" s="315"/>
      <x:c r="E64" s="315"/>
      <x:c r="F64" s="315"/>
      <x:c r="G64" s="315"/>
      <x:c r="H64" s="315"/>
      <x:c r="I64" s="315"/>
      <x:c r="J64" s="315"/>
      <x:c r="K64" s="315"/>
    </x:row>
    <x:row r="65" ht="15" hidden="0" customHeight="1">
      <x:c r="A65" s="315"/>
      <x:c r="B65" s="315"/>
      <x:c r="C65" s="315"/>
      <x:c r="D65" s="315"/>
      <x:c r="E65" s="315"/>
      <x:c r="F65" s="315"/>
      <x:c r="G65" s="315"/>
      <x:c r="H65" s="315"/>
      <x:c r="I65" s="315"/>
      <x:c r="J65" s="315"/>
      <x:c r="K65" s="315"/>
    </x:row>
    <x:row r="66" ht="15" hidden="0" customHeight="1">
      <x:c r="A66" s="315"/>
      <x:c r="B66" s="315"/>
      <x:c r="C66" s="315"/>
      <x:c r="D66" s="315"/>
      <x:c r="E66" s="315"/>
      <x:c r="F66" s="315"/>
      <x:c r="G66" s="315"/>
      <x:c r="H66" s="315"/>
      <x:c r="I66" s="315"/>
      <x:c r="J66" s="315"/>
      <x:c r="K66" s="315"/>
    </x:row>
    <x:row r="67" ht="15" hidden="0" customHeight="1">
      <x:c r="A67" s="315"/>
      <x:c r="B67" s="315"/>
      <x:c r="C67" s="315"/>
      <x:c r="D67" s="315"/>
      <x:c r="E67" s="315"/>
      <x:c r="F67" s="315"/>
      <x:c r="G67" s="315"/>
      <x:c r="H67" s="315"/>
      <x:c r="I67" s="315"/>
      <x:c r="J67" s="315"/>
      <x:c r="K67" s="315"/>
    </x:row>
    <x:row r="68" ht="15" hidden="0" customHeight="1">
      <x:c r="A68" s="315"/>
      <x:c r="B68" s="315"/>
      <x:c r="C68" s="315"/>
      <x:c r="D68" s="315"/>
      <x:c r="E68" s="315"/>
      <x:c r="F68" s="315"/>
      <x:c r="G68" s="315"/>
      <x:c r="H68" s="315"/>
      <x:c r="I68" s="315"/>
      <x:c r="J68" s="315"/>
      <x:c r="K68" s="315"/>
    </x:row>
    <x:row r="69" ht="15" hidden="0" customHeight="1">
      <x:c r="A69" s="315"/>
      <x:c r="B69" s="315"/>
      <x:c r="C69" s="315"/>
      <x:c r="D69" s="315"/>
      <x:c r="E69" s="315"/>
      <x:c r="F69" s="315"/>
      <x:c r="G69" s="315"/>
      <x:c r="H69" s="315"/>
      <x:c r="I69" s="315"/>
      <x:c r="J69" s="315"/>
      <x:c r="K69" s="315"/>
    </x:row>
    <x:row r="70" ht="15" hidden="0" customHeight="1">
      <x:c r="A70" s="315"/>
      <x:c r="B70" s="315"/>
      <x:c r="C70" s="315"/>
      <x:c r="D70" s="315"/>
      <x:c r="E70" s="315"/>
      <x:c r="F70" s="315"/>
      <x:c r="G70" s="315"/>
      <x:c r="H70" s="315"/>
      <x:c r="I70" s="315"/>
      <x:c r="J70" s="315"/>
      <x:c r="K70" s="315"/>
    </x:row>
    <x:row r="71" ht="15" hidden="0" customHeight="1">
      <x:c r="A71" s="315"/>
      <x:c r="B71" s="315"/>
      <x:c r="C71" s="315"/>
      <x:c r="D71" s="315"/>
      <x:c r="E71" s="315"/>
      <x:c r="F71" s="315"/>
      <x:c r="G71" s="315"/>
      <x:c r="H71" s="315"/>
      <x:c r="I71" s="315"/>
      <x:c r="J71" s="315"/>
      <x:c r="K71" s="315"/>
    </x:row>
    <x:row r="72" ht="15" hidden="0" customHeight="1">
      <x:c r="A72" s="315"/>
      <x:c r="B72" s="315"/>
      <x:c r="C72" s="315"/>
      <x:c r="D72" s="315"/>
      <x:c r="E72" s="315"/>
      <x:c r="F72" s="315"/>
      <x:c r="G72" s="315"/>
      <x:c r="H72" s="315"/>
      <x:c r="I72" s="315"/>
      <x:c r="J72" s="315"/>
      <x:c r="K72" s="315"/>
    </x:row>
    <x:row r="73" ht="15" hidden="0" customHeight="1">
      <x:c r="A73" s="315"/>
      <x:c r="B73" s="315"/>
      <x:c r="C73" s="315"/>
      <x:c r="D73" s="315"/>
      <x:c r="E73" s="315"/>
      <x:c r="F73" s="315"/>
      <x:c r="G73" s="315"/>
      <x:c r="H73" s="315"/>
      <x:c r="I73" s="315"/>
      <x:c r="J73" s="315"/>
      <x:c r="K73" s="315"/>
    </x:row>
    <x:row r="74" ht="15" hidden="0" customHeight="1">
      <x:c r="A74" s="315"/>
      <x:c r="B74" s="315"/>
      <x:c r="C74" s="315"/>
      <x:c r="D74" s="315"/>
      <x:c r="E74" s="315"/>
      <x:c r="F74" s="315"/>
      <x:c r="G74" s="315"/>
      <x:c r="H74" s="315"/>
      <x:c r="I74" s="315"/>
      <x:c r="J74" s="315"/>
      <x:c r="K74" s="315"/>
    </x:row>
    <x:row r="75" ht="15" hidden="0" customHeight="1">
      <x:c r="A75" s="315"/>
      <x:c r="B75" s="315"/>
      <x:c r="C75" s="315"/>
      <x:c r="D75" s="315"/>
      <x:c r="E75" s="315"/>
      <x:c r="F75" s="315"/>
      <x:c r="G75" s="315"/>
      <x:c r="H75" s="315"/>
      <x:c r="I75" s="315"/>
      <x:c r="J75" s="315"/>
      <x:c r="K75" s="315"/>
    </x:row>
    <x:row r="76" ht="15" hidden="0" customHeight="1">
      <x:c r="A76" s="315"/>
      <x:c r="B76" s="315"/>
      <x:c r="C76" s="315"/>
      <x:c r="D76" s="315"/>
      <x:c r="E76" s="315"/>
      <x:c r="F76" s="315"/>
      <x:c r="G76" s="315"/>
      <x:c r="H76" s="315"/>
      <x:c r="I76" s="315"/>
      <x:c r="J76" s="315"/>
      <x:c r="K76" s="315"/>
    </x:row>
    <x:row r="77" ht="15" hidden="0" customHeight="1">
      <x:c r="A77" s="315"/>
      <x:c r="B77" s="315"/>
      <x:c r="C77" s="315"/>
      <x:c r="D77" s="315"/>
      <x:c r="E77" s="315"/>
      <x:c r="F77" s="315"/>
      <x:c r="G77" s="315"/>
      <x:c r="H77" s="315"/>
      <x:c r="I77" s="315"/>
      <x:c r="J77" s="315"/>
      <x:c r="K77" s="315"/>
    </x:row>
    <x:row r="78" ht="15" hidden="0" customHeight="1">
      <x:c r="A78" s="315"/>
      <x:c r="B78" s="315"/>
      <x:c r="C78" s="315"/>
      <x:c r="D78" s="315"/>
      <x:c r="E78" s="315"/>
      <x:c r="F78" s="315"/>
      <x:c r="G78" s="315"/>
      <x:c r="H78" s="315"/>
      <x:c r="I78" s="315"/>
      <x:c r="J78" s="315"/>
      <x:c r="K78" s="315"/>
    </x:row>
    <x:row r="79" ht="15" hidden="0" customHeight="1">
      <x:c r="A79" s="315"/>
      <x:c r="B79" s="315"/>
      <x:c r="C79" s="315"/>
      <x:c r="D79" s="315"/>
      <x:c r="E79" s="315"/>
      <x:c r="F79" s="315"/>
      <x:c r="G79" s="315"/>
      <x:c r="H79" s="315"/>
      <x:c r="I79" s="315"/>
      <x:c r="J79" s="315"/>
      <x:c r="K79" s="315"/>
    </x:row>
    <x:row r="80" ht="15" hidden="0" customHeight="1">
      <x:c r="A80" s="315"/>
      <x:c r="B80" s="315"/>
      <x:c r="C80" s="315"/>
      <x:c r="D80" s="315"/>
      <x:c r="E80" s="315"/>
      <x:c r="F80" s="315"/>
      <x:c r="G80" s="315"/>
      <x:c r="H80" s="315"/>
      <x:c r="I80" s="315"/>
      <x:c r="J80" s="315"/>
      <x:c r="K80" s="315"/>
    </x:row>
  </x:sheetData>
  <x:mergeCells>
    <x:mergeCell ref="A1:K2"/>
    <x:mergeCell ref="A3:K3"/>
    <x:mergeCell ref="A15:K15"/>
    <x:mergeCell ref="A16:K17"/>
    <x:mergeCell ref="A19:K20"/>
    <x:mergeCell ref="A22:E22"/>
    <x:mergeCell ref="G22:K22"/>
    <x:mergeCell ref="A5:C5"/>
    <x:mergeCell ref="A6:C8"/>
    <x:mergeCell ref="D5:F5"/>
    <x:mergeCell ref="D6:F8"/>
    <x:mergeCell ref="G5:I5"/>
    <x:mergeCell ref="G6:I8"/>
    <x:mergeCell ref="J5:K5"/>
    <x:mergeCell ref="J6:K8"/>
    <x:mergeCell ref="A10:C10"/>
    <x:mergeCell ref="A11:C13"/>
    <x:mergeCell ref="D10:F10"/>
    <x:mergeCell ref="D11:F13"/>
    <x:mergeCell ref="G10:I10"/>
    <x:mergeCell ref="G11:I13"/>
    <x:mergeCell ref="J10:K10"/>
    <x:mergeCell ref="J11:K13"/>
  </x:mergeCells>
  <x:conditionalFormatting sqref="G6:I8">
    <x:cfRule type="cellIs" dxfId="4" priority="5" operator="lessThan">
      <x:formula>0</x:formula>
    </x:cfRule>
  </x:conditionalFormatting>
  <x:conditionalFormatting sqref="C24:C33">
    <x:cfRule type="dataBar" priority="6">
      <x:dataBar>
        <x:cfvo type="min"/>
        <x:cfvo type="max"/>
        <x:color rgb="C8A96A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conditionalFormatting sqref="E24:E33">
    <x:cfRule type="expression" dxfId="7" priority="7">
      <x:formula>E24="Over budget"</x:formula>
    </x:cfRule>
    <x:cfRule type="expression" dxfId="8" priority="8">
      <x:formula>E24="On track"</x:formula>
    </x:cfRule>
    <x:cfRule type="expression" dxfId="17" priority="14">
      <x:formula>E24="Viršytas biudžetas"</x:formula>
    </x:cfRule>
    <x:cfRule type="expression" dxfId="18" priority="15">
      <x:formula>E24="Reikia dėmesio"</x:formula>
    </x:cfRule>
    <x:cfRule type="expression" dxfId="19" priority="16">
      <x:formula>E24="Pagal planą"</x:formula>
    </x:cfRule>
    <x:cfRule type="expression" dxfId="20" priority="17">
      <x:formula>E24="Tikslas pasiektas"</x:formula>
    </x:cfRule>
  </x:conditionalFormatting>
  <x:conditionalFormatting sqref="J24:J28">
    <x:cfRule type="dataBar" priority="9">
      <x:dataBar>
        <x:cfvo type="min"/>
        <x:cfvo type="max"/>
        <x:color rgb="55765B"/>
      </x:dataBar>
      <x:extLst>
        <x:ext xmlns:x14="http://schemas.microsoft.com/office/spreadsheetml/2009/9/main" uri="{B025F937-C7B1-47D3-B67F-A62EFF666E3E}">
          <x14:id>{9FB71B9A-F398-1C5C-AB63-4C1EA09CC5DA}</x14:id>
        </x:ext>
      </x:extLst>
    </x:cfRule>
  </x:conditionalFormatting>
  <x:conditionalFormatting sqref="J24:J33">
    <x:cfRule type="dataBar" priority="10">
      <x:dataBar>
        <x:cfvo type="min"/>
        <x:cfvo type="max"/>
        <x:color rgb="7E8F75"/>
      </x:dataBar>
      <x:extLst>
        <x:ext xmlns:x14="http://schemas.microsoft.com/office/spreadsheetml/2009/9/main" uri="{B025F937-C7B1-47D3-B67F-A62EFF666E3E}">
          <x14:id>{A2C5F989-CA60-2928-DF8F-0A7C5049F2CB}</x14:id>
        </x:ext>
      </x:extLst>
    </x:cfRule>
    <x:cfRule type="dataBar" priority="13">
      <x:dataBar>
        <x:cfvo type="min"/>
        <x:cfvo type="max"/>
        <x:color rgb="7E8F75"/>
      </x:dataBar>
      <x:extLst>
        <x:ext xmlns:x14="http://schemas.microsoft.com/office/spreadsheetml/2009/9/main" uri="{B025F937-C7B1-47D3-B67F-A62EFF666E3E}">
          <x14:id>{CBAA392E-ED38-A615-7ECC-260DE4083BC9}</x14:id>
        </x:ext>
      </x:extLst>
    </x:cfRule>
  </x:conditionalFormatting>
  <x:conditionalFormatting sqref="D24:D33">
    <x:cfRule type="dataBar" priority="11">
      <x:dataBar>
        <x:cfvo type="min"/>
        <x:cfvo type="max"/>
        <x:color rgb="7E8F75"/>
      </x:dataBar>
      <x:extLst>
        <x:ext xmlns:x14="http://schemas.microsoft.com/office/spreadsheetml/2009/9/main" uri="{B025F937-C7B1-47D3-B67F-A62EFF666E3E}">
          <x14:id>{DB091E20-19F2-B742-A9FC-8B049DFBD9A0}</x14:id>
        </x:ext>
      </x:extLst>
    </x:cfRule>
    <x:cfRule type="dataBar" priority="12">
      <x:dataBar>
        <x:cfvo type="min"/>
        <x:cfvo type="max"/>
        <x:color rgb="7E8F75"/>
      </x:dataBar>
      <x:extLst>
        <x:ext xmlns:x14="http://schemas.microsoft.com/office/spreadsheetml/2009/9/main" uri="{B025F937-C7B1-47D3-B67F-A62EFF666E3E}">
          <x14:id>{3DFCD021-A72B-ED2D-A83C-CA8C5CB4553A}</x14:id>
        </x:ext>
      </x:extLst>
    </x:cfRule>
  </x:conditionalFormatting>
  <x:conditionalFormatting sqref="K24:K33">
    <x:cfRule type="expression" dxfId="21" priority="18">
      <x:formula>K24="Viršytas biudžetas"</x:formula>
    </x:cfRule>
    <x:cfRule type="expression" dxfId="22" priority="19">
      <x:formula>K24="Reikia dėmesio"</x:formula>
    </x:cfRule>
    <x:cfRule type="expression" dxfId="23" priority="20">
      <x:formula>K24="Pagal planą"</x:formula>
    </x:cfRule>
    <x:cfRule type="expression" dxfId="24" priority="21">
      <x:formula>K24="Tikslas pasiektas"</x:formula>
    </x:cfRule>
  </x:conditionalFormatting>
  <x:pageMargins left="0.7" right="0.7" top="0.75" bottom="0.75" header="0.3" footer="0.3"/>
  <x:drawing xmlns:r="http://schemas.openxmlformats.org/officeDocument/2006/relationships" r:id="R3119385ca7b340b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169BE573-5479-287D-BE93-74B15E11EBFA}">
            <x14:dataBar gradient="1">
              <x14:cfvo type="min"/>
              <x14:cfvo type="max"/>
              <x14:fillColor rgb="C8A96A"/>
            </x14:dataBar>
          </x14:cfRule>
          <xm:sqref>C24:C33</xm:sqref>
        </x14:conditionalFormatting>
        <x14:conditionalFormatting>
          <x14:cfRule type="dataBar" priority="9" id="{9FB71B9A-F398-1C5C-AB63-4C1EA09CC5DA}">
            <x14:dataBar gradient="1">
              <x14:cfvo type="min"/>
              <x14:cfvo type="max"/>
              <x14:fillColor rgb="55765B"/>
            </x14:dataBar>
          </x14:cfRule>
          <xm:sqref>J24:J28</xm:sqref>
        </x14:conditionalFormatting>
        <x14:conditionalFormatting>
          <x14:cfRule type="dataBar" priority="10" id="{A2C5F989-CA60-2928-DF8F-0A7C5049F2CB}">
            <x14:dataBar gradient="1">
              <x14:cfvo type="min"/>
              <x14:cfvo type="max"/>
              <x14:fillColor rgb="7E8F75"/>
            </x14:dataBar>
          </x14:cfRule>
          <x14:cfRule type="dataBar" priority="13" id="{CBAA392E-ED38-A615-7ECC-260DE4083BC9}">
            <x14:dataBar gradient="1">
              <x14:cfvo type="min"/>
              <x14:cfvo type="max"/>
              <x14:fillColor rgb="7E8F75"/>
            </x14:dataBar>
          </x14:cfRule>
          <xm:sqref>J24:J33</xm:sqref>
        </x14:conditionalFormatting>
        <x14:conditionalFormatting>
          <x14:cfRule type="dataBar" priority="11" id="{DB091E20-19F2-B742-A9FC-8B049DFBD9A0}">
            <x14:dataBar gradient="1">
              <x14:cfvo type="min"/>
              <x14:cfvo type="max"/>
              <x14:fillColor rgb="7E8F75"/>
            </x14:dataBar>
          </x14:cfRule>
          <x14:cfRule type="dataBar" priority="12" id="{3DFCD021-A72B-ED2D-A83C-CA8C5CB4553A}">
            <x14:dataBar gradient="1">
              <x14:cfvo type="min"/>
              <x14:cfvo type="max"/>
              <x14:fillColor rgb="7E8F75"/>
            </x14:dataBar>
          </x14:cfRule>
          <xm:sqref>D24:D33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hidden="0" customHeight="1">
      <x:c r="A1" s="867" t="str">
        <x:v>StillOak Studio · Personal Budget System V10</x:v>
      </x:c>
      <x:c r="B1" s="867"/>
      <x:c r="C1" s="315"/>
      <x:c r="D1" s="315"/>
      <x:c r="E1" s="315"/>
      <x:c r="F1" s="315"/>
      <x:c r="G1" s="315"/>
      <x:c r="H1" s="315"/>
      <x:c r="I1" s="315"/>
      <x:c r="J1" s="315"/>
      <x:c r="K1" s="315"/>
    </x:row>
    <x:row r="2" ht="24" hidden="0" customHeight="1">
      <x:c r="A2" s="838" t="str">
        <x:v>Premium quick-start guide for the budget model.</x:v>
      </x:c>
      <x:c r="B2" s="838"/>
      <x:c r="C2" s="315"/>
      <x:c r="D2" s="315"/>
      <x:c r="E2" s="315"/>
      <x:c r="F2" s="315"/>
      <x:c r="G2" s="315"/>
      <x:c r="H2" s="315"/>
      <x:c r="I2" s="315"/>
      <x:c r="J2" s="315"/>
      <x:c r="K2" s="315"/>
    </x:row>
    <x:row r="3" ht="24" hidden="0" customHeight="1">
      <x:c r="A3" s="896"/>
      <x:c r="B3" s="896"/>
      <x:c r="C3" s="315"/>
      <x:c r="D3" s="315"/>
      <x:c r="E3" s="315"/>
      <x:c r="F3" s="315"/>
      <x:c r="G3" s="315"/>
      <x:c r="H3" s="315"/>
      <x:c r="I3" s="315"/>
      <x:c r="J3" s="315"/>
      <x:c r="K3" s="315"/>
    </x:row>
    <x:row r="4" ht="24" hidden="0" customHeight="1">
      <x:c r="A4" s="898" t="str">
        <x:v>How to use this file</x:v>
      </x:c>
      <x:c r="B4" s="898"/>
      <x:c r="C4" s="340"/>
      <x:c r="D4" s="340"/>
      <x:c r="E4" s="340"/>
      <x:c r="F4" s="340"/>
      <x:c r="G4" s="340"/>
      <x:c r="H4" s="340"/>
      <x:c r="I4" s="315"/>
      <x:c r="J4" s="315"/>
      <x:c r="K4" s="315"/>
    </x:row>
    <x:row r="5" ht="24" hidden="0" customHeight="1">
      <x:c r="A5" s="900"/>
      <x:c r="B5" s="896"/>
      <x:c r="C5" s="315"/>
      <x:c r="D5" s="315"/>
      <x:c r="E5" s="315"/>
      <x:c r="F5" s="315"/>
      <x:c r="G5" s="315"/>
      <x:c r="H5" s="315"/>
      <x:c r="I5" s="315"/>
      <x:c r="J5" s="315"/>
      <x:c r="K5" s="315"/>
    </x:row>
    <x:row r="6" ht="24" hidden="0" customHeight="1">
      <x:c r="A6" s="900" t="str">
        <x:v>1</x:v>
      </x:c>
      <x:c r="B6" s="896" t="str">
        <x:v>Open the Inputs sheet and enter the month, currency, savings target and emergency fund target.</x:v>
      </x:c>
      <x:c r="C6" s="315"/>
      <x:c r="D6" s="315"/>
      <x:c r="E6" s="315"/>
      <x:c r="F6" s="315"/>
      <x:c r="G6" s="315"/>
      <x:c r="H6" s="315"/>
      <x:c r="I6" s="315"/>
      <x:c r="J6" s="315"/>
      <x:c r="K6" s="315"/>
    </x:row>
    <x:row r="7" ht="24" hidden="0" customHeight="1">
      <x:c r="A7" s="900" t="str">
        <x:v>2</x:v>
      </x:c>
      <x:c r="B7" s="896" t="str">
        <x:v>Use the Income sheet to enter planned and actual income. Variance is calculated automatically.</x:v>
      </x:c>
      <x:c r="C7" s="315"/>
      <x:c r="D7" s="315"/>
      <x:c r="E7" s="315"/>
      <x:c r="F7" s="315"/>
      <x:c r="G7" s="315"/>
      <x:c r="H7" s="315"/>
      <x:c r="I7" s="315"/>
      <x:c r="J7" s="315"/>
      <x:c r="K7" s="315"/>
    </x:row>
    <x:row r="8" ht="24" hidden="0" customHeight="1">
      <x:c r="A8" s="900" t="str">
        <x:v>3</x:v>
      </x:c>
      <x:c r="B8" s="896" t="str">
        <x:v>Use the Expenses sheet to enter planned and actual expenses. Category analysis updates automatically.</x:v>
      </x:c>
      <x:c r="C8" s="315"/>
      <x:c r="D8" s="315"/>
      <x:c r="E8" s="315"/>
      <x:c r="F8" s="315"/>
      <x:c r="G8" s="315"/>
      <x:c r="H8" s="315"/>
      <x:c r="I8" s="315"/>
      <x:c r="J8" s="315"/>
      <x:c r="K8" s="315"/>
    </x:row>
    <x:row r="9" ht="24" hidden="0" customHeight="1">
      <x:c r="A9" s="900" t="str">
        <x:v>4</x:v>
      </x:c>
      <x:c r="B9" s="896" t="str">
        <x:v>Use the Savings Goals sheet to track your goals and progress.</x:v>
      </x:c>
      <x:c r="C9" s="315"/>
      <x:c r="D9" s="315"/>
      <x:c r="E9" s="315"/>
      <x:c r="F9" s="315"/>
      <x:c r="G9" s="315"/>
      <x:c r="H9" s="315"/>
      <x:c r="I9" s="315"/>
      <x:c r="J9" s="315"/>
      <x:c r="K9" s="315"/>
    </x:row>
    <x:row r="10" ht="24" hidden="0" customHeight="1">
      <x:c r="A10" s="900" t="str">
        <x:v>5</x:v>
      </x:c>
      <x:c r="B10" s="896" t="str">
        <x:v>Review the Dashboard for your monthly result, budget score and recommendation.</x:v>
      </x:c>
      <x:c r="C10" s="315"/>
      <x:c r="D10" s="315"/>
      <x:c r="E10" s="315"/>
      <x:c r="F10" s="315"/>
      <x:c r="G10" s="315"/>
      <x:c r="H10" s="315"/>
      <x:c r="I10" s="315"/>
      <x:c r="J10" s="315"/>
      <x:c r="K10" s="315"/>
    </x:row>
    <x:row r="11" ht="24" hidden="0" customHeight="1">
      <x:c r="A11" s="900" t="str">
        <x:v>6</x:v>
      </x:c>
      <x:c r="B11" s="896" t="str">
        <x:v>Use the Monthly Review sheet to write your reflection and three actions for next month.</x:v>
      </x:c>
      <x:c r="C11" s="315"/>
      <x:c r="D11" s="315"/>
      <x:c r="E11" s="315"/>
      <x:c r="F11" s="315"/>
      <x:c r="G11" s="315"/>
      <x:c r="H11" s="315"/>
      <x:c r="I11" s="315"/>
      <x:c r="J11" s="315"/>
      <x:c r="K11" s="315"/>
    </x:row>
    <x:row r="12" ht="24" hidden="0" customHeight="1">
      <x:c r="A12" s="900"/>
      <x:c r="B12" s="896"/>
      <x:c r="C12" s="315"/>
      <x:c r="D12" s="315"/>
      <x:c r="E12" s="315"/>
      <x:c r="F12" s="315"/>
      <x:c r="G12" s="315"/>
      <x:c r="H12" s="315"/>
      <x:c r="I12" s="315"/>
      <x:c r="J12" s="315"/>
      <x:c r="K12" s="315"/>
    </x:row>
    <x:row r="13" ht="24" hidden="0" customHeight="1">
      <x:c r="A13" s="898" t="str">
        <x:v>Color legend</x:v>
      </x:c>
      <x:c r="B13" s="898"/>
      <x:c r="C13" s="340"/>
      <x:c r="D13" s="340"/>
      <x:c r="E13" s="340"/>
      <x:c r="F13" s="340"/>
      <x:c r="G13" s="340"/>
      <x:c r="H13" s="340"/>
      <x:c r="I13" s="315"/>
      <x:c r="J13" s="315"/>
      <x:c r="K13" s="315"/>
    </x:row>
    <x:row r="14" ht="24" hidden="0" customHeight="1">
      <x:c r="A14" s="900"/>
      <x:c r="B14" s="896"/>
      <x:c r="C14" s="315"/>
      <x:c r="D14" s="315"/>
      <x:c r="E14" s="315"/>
      <x:c r="F14" s="315"/>
      <x:c r="G14" s="315"/>
      <x:c r="H14" s="315"/>
      <x:c r="I14" s="315"/>
      <x:c r="J14" s="315"/>
      <x:c r="K14" s="315"/>
    </x:row>
    <x:row r="15" ht="24" hidden="0" customHeight="1">
      <x:c r="A15" s="900" t="str">
        <x:v>Input cells</x:v>
      </x:c>
      <x:c r="B15" s="896" t="str">
        <x:v>Edit these cells with your own numbers.</x:v>
      </x:c>
      <x:c r="C15" s="315"/>
      <x:c r="D15" s="315"/>
      <x:c r="E15" s="315"/>
      <x:c r="F15" s="315"/>
      <x:c r="G15" s="315"/>
      <x:c r="H15" s="315"/>
      <x:c r="I15" s="315"/>
      <x:c r="J15" s="315"/>
      <x:c r="K15" s="315"/>
    </x:row>
    <x:row r="16" ht="24" hidden="0" customHeight="1">
      <x:c r="A16" s="900" t="str">
        <x:v>Formula / result cells</x:v>
      </x:c>
      <x:c r="B16" s="896" t="str">
        <x:v>These cells calculate automatically.</x:v>
      </x:c>
      <x:c r="C16" s="315"/>
      <x:c r="D16" s="315"/>
      <x:c r="E16" s="315"/>
      <x:c r="F16" s="315"/>
      <x:c r="G16" s="315"/>
      <x:c r="H16" s="315"/>
      <x:c r="I16" s="315"/>
      <x:c r="J16" s="315"/>
      <x:c r="K16" s="315"/>
    </x:row>
    <x:row r="17" ht="24" hidden="0" customHeight="1">
      <x:c r="A17" s="900" t="str">
        <x:v>Dashboard</x:v>
      </x:c>
      <x:c r="B17" s="896" t="str">
        <x:v>Summary, score and recommendations.</x:v>
      </x:c>
      <x:c r="C17" s="315"/>
      <x:c r="D17" s="315"/>
      <x:c r="E17" s="315"/>
      <x:c r="F17" s="315"/>
      <x:c r="G17" s="315"/>
      <x:c r="H17" s="315"/>
      <x:c r="I17" s="315"/>
      <x:c r="J17" s="315"/>
      <x:c r="K17" s="315"/>
    </x:row>
    <x:row r="18" ht="15" hidden="0" customHeight="1">
      <x:c r="A18" s="315"/>
      <x:c r="B18" s="315"/>
      <x:c r="C18" s="315"/>
      <x:c r="D18" s="315"/>
      <x:c r="E18" s="315"/>
      <x:c r="F18" s="315"/>
      <x:c r="G18" s="315"/>
      <x:c r="H18" s="315"/>
      <x:c r="I18" s="315"/>
      <x:c r="J18" s="315"/>
      <x:c r="K18" s="315"/>
    </x:row>
    <x:row r="19" ht="15" hidden="0" customHeight="1">
      <x:c r="A19" s="315"/>
      <x:c r="B19" s="315"/>
      <x:c r="C19" s="315"/>
      <x:c r="D19" s="315"/>
      <x:c r="E19" s="315"/>
      <x:c r="F19" s="315"/>
      <x:c r="G19" s="315"/>
      <x:c r="H19" s="315"/>
      <x:c r="I19" s="315"/>
      <x:c r="J19" s="315"/>
      <x:c r="K19" s="315"/>
    </x:row>
    <x:row r="20" ht="15" hidden="0" customHeight="1">
      <x:c r="A20" s="315"/>
      <x:c r="B20" s="315"/>
      <x:c r="C20" s="315"/>
      <x:c r="D20" s="315"/>
      <x:c r="E20" s="315"/>
      <x:c r="F20" s="315"/>
      <x:c r="G20" s="315"/>
      <x:c r="H20" s="315"/>
      <x:c r="I20" s="315"/>
      <x:c r="J20" s="315"/>
      <x:c r="K20" s="315"/>
    </x:row>
    <x:row r="21" ht="15" hidden="0" customHeight="1">
      <x:c r="A21" s="315"/>
      <x:c r="B21" s="315"/>
      <x:c r="C21" s="315"/>
      <x:c r="D21" s="315"/>
      <x:c r="E21" s="315"/>
      <x:c r="F21" s="315"/>
      <x:c r="G21" s="315"/>
      <x:c r="H21" s="315"/>
      <x:c r="I21" s="315"/>
      <x:c r="J21" s="315"/>
      <x:c r="K21" s="315"/>
    </x:row>
    <x:row r="22" ht="15" hidden="0" customHeight="1">
      <x:c r="A22" s="315"/>
      <x:c r="B22" s="315"/>
      <x:c r="C22" s="315"/>
      <x:c r="D22" s="315"/>
      <x:c r="E22" s="315"/>
      <x:c r="F22" s="315"/>
      <x:c r="G22" s="315"/>
      <x:c r="H22" s="315"/>
      <x:c r="I22" s="315"/>
      <x:c r="J22" s="315"/>
      <x:c r="K22" s="315"/>
    </x:row>
    <x:row r="23" ht="15" hidden="0" customHeight="1">
      <x:c r="A23" s="315"/>
      <x:c r="B23" s="315"/>
      <x:c r="C23" s="315"/>
      <x:c r="D23" s="315"/>
      <x:c r="E23" s="315"/>
      <x:c r="F23" s="315"/>
      <x:c r="G23" s="315"/>
      <x:c r="H23" s="315"/>
      <x:c r="I23" s="315"/>
      <x:c r="J23" s="315"/>
      <x:c r="K23" s="315"/>
    </x:row>
    <x:row r="24" ht="15" hidden="0" customHeight="1">
      <x:c r="A24" s="315"/>
      <x:c r="B24" s="315"/>
      <x:c r="C24" s="315"/>
      <x:c r="D24" s="315"/>
      <x:c r="E24" s="315"/>
      <x:c r="F24" s="315"/>
      <x:c r="G24" s="315"/>
      <x:c r="H24" s="315"/>
      <x:c r="I24" s="315"/>
      <x:c r="J24" s="315"/>
      <x:c r="K24" s="315"/>
    </x:row>
    <x:row r="25" ht="15" hidden="0" customHeight="1">
      <x:c r="A25" s="315"/>
      <x:c r="B25" s="315"/>
      <x:c r="C25" s="315"/>
      <x:c r="D25" s="315"/>
      <x:c r="E25" s="315"/>
      <x:c r="F25" s="315"/>
      <x:c r="G25" s="315"/>
      <x:c r="H25" s="315"/>
      <x:c r="I25" s="315"/>
      <x:c r="J25" s="315"/>
      <x:c r="K25" s="315"/>
    </x:row>
    <x:row r="26" ht="15" hidden="0" customHeight="1">
      <x:c r="A26" s="315"/>
      <x:c r="B26" s="315"/>
      <x:c r="C26" s="315"/>
      <x:c r="D26" s="315"/>
      <x:c r="E26" s="315"/>
      <x:c r="F26" s="315"/>
      <x:c r="G26" s="315"/>
      <x:c r="H26" s="315"/>
      <x:c r="I26" s="315"/>
      <x:c r="J26" s="315"/>
      <x:c r="K26" s="315"/>
    </x:row>
    <x:row r="27" ht="15" hidden="0" customHeight="1">
      <x:c r="A27" s="315"/>
      <x:c r="B27" s="315"/>
      <x:c r="C27" s="315"/>
      <x:c r="D27" s="315"/>
      <x:c r="E27" s="315"/>
      <x:c r="F27" s="315"/>
      <x:c r="G27" s="315"/>
      <x:c r="H27" s="315"/>
      <x:c r="I27" s="315"/>
      <x:c r="J27" s="315"/>
      <x:c r="K27" s="315"/>
    </x:row>
    <x:row r="28" ht="15" hidden="0" customHeight="1">
      <x:c r="A28" s="315"/>
      <x:c r="B28" s="315"/>
      <x:c r="C28" s="315"/>
      <x:c r="D28" s="315"/>
      <x:c r="E28" s="315"/>
      <x:c r="F28" s="315"/>
      <x:c r="G28" s="315"/>
      <x:c r="H28" s="315"/>
      <x:c r="I28" s="315"/>
      <x:c r="J28" s="315"/>
      <x:c r="K28" s="315"/>
    </x:row>
    <x:row r="29" ht="15" hidden="0" customHeight="1">
      <x:c r="A29" s="315"/>
      <x:c r="B29" s="315"/>
      <x:c r="C29" s="315"/>
      <x:c r="D29" s="315"/>
      <x:c r="E29" s="315"/>
      <x:c r="F29" s="315"/>
      <x:c r="G29" s="315"/>
      <x:c r="H29" s="315"/>
      <x:c r="I29" s="315"/>
      <x:c r="J29" s="315"/>
      <x:c r="K29" s="315"/>
    </x:row>
    <x:row r="30" ht="15" hidden="0" customHeight="1">
      <x:c r="A30" s="315"/>
      <x:c r="B30" s="315"/>
      <x:c r="C30" s="315"/>
      <x:c r="D30" s="315"/>
      <x:c r="E30" s="315"/>
      <x:c r="F30" s="315"/>
      <x:c r="G30" s="315"/>
      <x:c r="H30" s="315"/>
      <x:c r="I30" s="315"/>
      <x:c r="J30" s="315"/>
      <x:c r="K30" s="315"/>
    </x:row>
    <x:row r="31" ht="15" hidden="0" customHeight="1">
      <x:c r="A31" s="315"/>
      <x:c r="B31" s="315"/>
      <x:c r="C31" s="315"/>
      <x:c r="D31" s="315"/>
      <x:c r="E31" s="315"/>
      <x:c r="F31" s="315"/>
      <x:c r="G31" s="315"/>
      <x:c r="H31" s="315"/>
      <x:c r="I31" s="315"/>
      <x:c r="J31" s="315"/>
      <x:c r="K31" s="315"/>
    </x:row>
    <x:row r="32" ht="15" hidden="0" customHeight="1">
      <x:c r="A32" s="315"/>
      <x:c r="B32" s="315"/>
      <x:c r="C32" s="315"/>
      <x:c r="D32" s="315"/>
      <x:c r="E32" s="315"/>
      <x:c r="F32" s="315"/>
      <x:c r="G32" s="315"/>
      <x:c r="H32" s="315"/>
      <x:c r="I32" s="315"/>
      <x:c r="J32" s="315"/>
      <x:c r="K32" s="315"/>
    </x:row>
    <x:row r="33" ht="15" hidden="0" customHeight="1">
      <x:c r="A33" s="315"/>
      <x:c r="B33" s="315"/>
      <x:c r="C33" s="315"/>
      <x:c r="D33" s="315"/>
      <x:c r="E33" s="315"/>
      <x:c r="F33" s="315"/>
      <x:c r="G33" s="315"/>
      <x:c r="H33" s="315"/>
      <x:c r="I33" s="315"/>
      <x:c r="J33" s="315"/>
      <x:c r="K33" s="315"/>
    </x:row>
    <x:row r="34" ht="15" hidden="0" customHeight="1">
      <x:c r="A34" s="315"/>
      <x:c r="B34" s="315"/>
      <x:c r="C34" s="315"/>
      <x:c r="D34" s="315"/>
      <x:c r="E34" s="315"/>
      <x:c r="F34" s="315"/>
      <x:c r="G34" s="315"/>
      <x:c r="H34" s="315"/>
      <x:c r="I34" s="315"/>
      <x:c r="J34" s="315"/>
      <x:c r="K34" s="315"/>
    </x:row>
    <x:row r="35" ht="15" hidden="0" customHeight="1">
      <x:c r="A35" s="315"/>
      <x:c r="B35" s="315"/>
      <x:c r="C35" s="315"/>
      <x:c r="D35" s="315"/>
      <x:c r="E35" s="315"/>
      <x:c r="F35" s="315"/>
      <x:c r="G35" s="315"/>
      <x:c r="H35" s="315"/>
      <x:c r="I35" s="315"/>
      <x:c r="J35" s="315"/>
      <x:c r="K35" s="315"/>
    </x:row>
    <x:row r="36" ht="15" hidden="0" customHeight="1">
      <x:c r="A36" s="315"/>
      <x:c r="B36" s="315"/>
      <x:c r="C36" s="315"/>
      <x:c r="D36" s="315"/>
      <x:c r="E36" s="315"/>
      <x:c r="F36" s="315"/>
      <x:c r="G36" s="315"/>
      <x:c r="H36" s="315"/>
      <x:c r="I36" s="315"/>
      <x:c r="J36" s="315"/>
      <x:c r="K36" s="315"/>
    </x:row>
    <x:row r="37" ht="15" hidden="0" customHeight="1">
      <x:c r="A37" s="315"/>
      <x:c r="B37" s="315"/>
      <x:c r="C37" s="315"/>
      <x:c r="D37" s="315"/>
      <x:c r="E37" s="315"/>
      <x:c r="F37" s="315"/>
      <x:c r="G37" s="315"/>
      <x:c r="H37" s="315"/>
      <x:c r="I37" s="315"/>
      <x:c r="J37" s="315"/>
      <x:c r="K37" s="315"/>
    </x:row>
    <x:row r="38" ht="15" hidden="0" customHeight="1">
      <x:c r="A38" s="315"/>
      <x:c r="B38" s="315"/>
      <x:c r="C38" s="315"/>
      <x:c r="D38" s="315"/>
      <x:c r="E38" s="315"/>
      <x:c r="F38" s="315"/>
      <x:c r="G38" s="315"/>
      <x:c r="H38" s="315"/>
      <x:c r="I38" s="315"/>
      <x:c r="J38" s="315"/>
      <x:c r="K38" s="315"/>
    </x:row>
    <x:row r="39" ht="15" hidden="0" customHeight="1">
      <x:c r="A39" s="315"/>
      <x:c r="B39" s="315"/>
      <x:c r="C39" s="315"/>
      <x:c r="D39" s="315"/>
      <x:c r="E39" s="315"/>
      <x:c r="F39" s="315"/>
      <x:c r="G39" s="315"/>
      <x:c r="H39" s="315"/>
      <x:c r="I39" s="315"/>
      <x:c r="J39" s="315"/>
      <x:c r="K39" s="315"/>
    </x:row>
    <x:row r="40" ht="15" hidden="0" customHeight="1">
      <x:c r="A40" s="315"/>
      <x:c r="B40" s="315"/>
      <x:c r="C40" s="315"/>
      <x:c r="D40" s="315"/>
      <x:c r="E40" s="315"/>
      <x:c r="F40" s="315"/>
      <x:c r="G40" s="315"/>
      <x:c r="H40" s="315"/>
      <x:c r="I40" s="315"/>
      <x:c r="J40" s="315"/>
      <x:c r="K40" s="315"/>
    </x:row>
    <x:row r="41" ht="15" hidden="0" customHeight="1">
      <x:c r="A41" s="315"/>
      <x:c r="B41" s="315"/>
      <x:c r="C41" s="315"/>
      <x:c r="D41" s="315"/>
      <x:c r="E41" s="315"/>
      <x:c r="F41" s="315"/>
      <x:c r="G41" s="315"/>
      <x:c r="H41" s="315"/>
      <x:c r="I41" s="315"/>
      <x:c r="J41" s="315"/>
      <x:c r="K41" s="315"/>
    </x:row>
    <x:row r="42" ht="15" hidden="0" customHeight="1">
      <x:c r="A42" s="315"/>
      <x:c r="B42" s="315"/>
      <x:c r="C42" s="315"/>
      <x:c r="D42" s="315"/>
      <x:c r="E42" s="315"/>
      <x:c r="F42" s="315"/>
      <x:c r="G42" s="315"/>
      <x:c r="H42" s="315"/>
      <x:c r="I42" s="315"/>
      <x:c r="J42" s="315"/>
      <x:c r="K42" s="315"/>
    </x:row>
    <x:row r="43" ht="15" hidden="0" customHeight="1">
      <x:c r="A43" s="315"/>
      <x:c r="B43" s="315"/>
      <x:c r="C43" s="315"/>
      <x:c r="D43" s="315"/>
      <x:c r="E43" s="315"/>
      <x:c r="F43" s="315"/>
      <x:c r="G43" s="315"/>
      <x:c r="H43" s="315"/>
      <x:c r="I43" s="315"/>
      <x:c r="J43" s="315"/>
      <x:c r="K43" s="315"/>
    </x:row>
    <x:row r="44" ht="15" hidden="0" customHeight="1">
      <x:c r="A44" s="315"/>
      <x:c r="B44" s="315"/>
      <x:c r="C44" s="315"/>
      <x:c r="D44" s="315"/>
      <x:c r="E44" s="315"/>
      <x:c r="F44" s="315"/>
      <x:c r="G44" s="315"/>
      <x:c r="H44" s="315"/>
      <x:c r="I44" s="315"/>
      <x:c r="J44" s="315"/>
      <x:c r="K44" s="315"/>
    </x:row>
    <x:row r="45" ht="15" hidden="0" customHeight="1">
      <x:c r="A45" s="315"/>
      <x:c r="B45" s="315"/>
      <x:c r="C45" s="315"/>
      <x:c r="D45" s="315"/>
      <x:c r="E45" s="315"/>
      <x:c r="F45" s="315"/>
      <x:c r="G45" s="315"/>
      <x:c r="H45" s="315"/>
      <x:c r="I45" s="315"/>
      <x:c r="J45" s="315"/>
      <x:c r="K45" s="315"/>
    </x:row>
    <x:row r="46" ht="15" hidden="0" customHeight="1">
      <x:c r="A46" s="315"/>
      <x:c r="B46" s="315"/>
      <x:c r="C46" s="315"/>
      <x:c r="D46" s="315"/>
      <x:c r="E46" s="315"/>
      <x:c r="F46" s="315"/>
      <x:c r="G46" s="315"/>
      <x:c r="H46" s="315"/>
      <x:c r="I46" s="315"/>
      <x:c r="J46" s="315"/>
      <x:c r="K46" s="315"/>
    </x:row>
    <x:row r="47" ht="15" hidden="0" customHeight="1">
      <x:c r="A47" s="315"/>
      <x:c r="B47" s="315"/>
      <x:c r="C47" s="315"/>
      <x:c r="D47" s="315"/>
      <x:c r="E47" s="315"/>
      <x:c r="F47" s="315"/>
      <x:c r="G47" s="315"/>
      <x:c r="H47" s="315"/>
      <x:c r="I47" s="315"/>
      <x:c r="J47" s="315"/>
      <x:c r="K47" s="315"/>
    </x:row>
    <x:row r="48" ht="15" hidden="0" customHeight="1">
      <x:c r="A48" s="315"/>
      <x:c r="B48" s="315"/>
      <x:c r="C48" s="315"/>
      <x:c r="D48" s="315"/>
      <x:c r="E48" s="315"/>
      <x:c r="F48" s="315"/>
      <x:c r="G48" s="315"/>
      <x:c r="H48" s="315"/>
      <x:c r="I48" s="315"/>
      <x:c r="J48" s="315"/>
      <x:c r="K48" s="315"/>
    </x:row>
    <x:row r="49" ht="15" hidden="0" customHeight="1">
      <x:c r="A49" s="315"/>
      <x:c r="B49" s="315"/>
      <x:c r="C49" s="315"/>
      <x:c r="D49" s="315"/>
      <x:c r="E49" s="315"/>
      <x:c r="F49" s="315"/>
      <x:c r="G49" s="315"/>
      <x:c r="H49" s="315"/>
      <x:c r="I49" s="315"/>
      <x:c r="J49" s="315"/>
      <x:c r="K49" s="315"/>
    </x:row>
    <x:row r="50" ht="15" hidden="0" customHeight="1">
      <x:c r="A50" s="315"/>
      <x:c r="B50" s="315"/>
      <x:c r="C50" s="315"/>
      <x:c r="D50" s="315"/>
      <x:c r="E50" s="315"/>
      <x:c r="F50" s="315"/>
      <x:c r="G50" s="315"/>
      <x:c r="H50" s="315"/>
      <x:c r="I50" s="315"/>
      <x:c r="J50" s="315"/>
      <x:c r="K50" s="315"/>
    </x:row>
    <x:row r="51" ht="15" hidden="0" customHeight="1">
      <x:c r="A51" s="315"/>
      <x:c r="B51" s="315"/>
      <x:c r="C51" s="315"/>
      <x:c r="D51" s="315"/>
      <x:c r="E51" s="315"/>
      <x:c r="F51" s="315"/>
      <x:c r="G51" s="315"/>
      <x:c r="H51" s="315"/>
      <x:c r="I51" s="315"/>
      <x:c r="J51" s="315"/>
      <x:c r="K51" s="315"/>
    </x:row>
    <x:row r="52" ht="15" hidden="0" customHeight="1">
      <x:c r="A52" s="315"/>
      <x:c r="B52" s="315"/>
      <x:c r="C52" s="315"/>
      <x:c r="D52" s="315"/>
      <x:c r="E52" s="315"/>
      <x:c r="F52" s="315"/>
      <x:c r="G52" s="315"/>
      <x:c r="H52" s="315"/>
      <x:c r="I52" s="315"/>
      <x:c r="J52" s="315"/>
      <x:c r="K52" s="315"/>
    </x:row>
    <x:row r="53" ht="15" hidden="0" customHeight="1">
      <x:c r="A53" s="315"/>
      <x:c r="B53" s="315"/>
      <x:c r="C53" s="315"/>
      <x:c r="D53" s="315"/>
      <x:c r="E53" s="315"/>
      <x:c r="F53" s="315"/>
      <x:c r="G53" s="315"/>
      <x:c r="H53" s="315"/>
      <x:c r="I53" s="315"/>
      <x:c r="J53" s="315"/>
      <x:c r="K53" s="315"/>
    </x:row>
    <x:row r="54" ht="15" hidden="0" customHeight="1">
      <x:c r="A54" s="315"/>
      <x:c r="B54" s="315"/>
      <x:c r="C54" s="315"/>
      <x:c r="D54" s="315"/>
      <x:c r="E54" s="315"/>
      <x:c r="F54" s="315"/>
      <x:c r="G54" s="315"/>
      <x:c r="H54" s="315"/>
      <x:c r="I54" s="315"/>
      <x:c r="J54" s="315"/>
      <x:c r="K54" s="315"/>
    </x:row>
    <x:row r="55" ht="15" hidden="0" customHeight="1">
      <x:c r="A55" s="315"/>
      <x:c r="B55" s="315"/>
      <x:c r="C55" s="315"/>
      <x:c r="D55" s="315"/>
      <x:c r="E55" s="315"/>
      <x:c r="F55" s="315"/>
      <x:c r="G55" s="315"/>
      <x:c r="H55" s="315"/>
      <x:c r="I55" s="315"/>
      <x:c r="J55" s="315"/>
      <x:c r="K55" s="315"/>
    </x:row>
    <x:row r="56" ht="15" hidden="0" customHeight="1">
      <x:c r="A56" s="315"/>
      <x:c r="B56" s="315"/>
      <x:c r="C56" s="315"/>
      <x:c r="D56" s="315"/>
      <x:c r="E56" s="315"/>
      <x:c r="F56" s="315"/>
      <x:c r="G56" s="315"/>
      <x:c r="H56" s="315"/>
      <x:c r="I56" s="315"/>
      <x:c r="J56" s="315"/>
      <x:c r="K56" s="315"/>
    </x:row>
    <x:row r="57" ht="15" hidden="0" customHeight="1">
      <x:c r="A57" s="315"/>
      <x:c r="B57" s="315"/>
      <x:c r="C57" s="315"/>
      <x:c r="D57" s="315"/>
      <x:c r="E57" s="315"/>
      <x:c r="F57" s="315"/>
      <x:c r="G57" s="315"/>
      <x:c r="H57" s="315"/>
      <x:c r="I57" s="315"/>
      <x:c r="J57" s="315"/>
      <x:c r="K57" s="315"/>
    </x:row>
    <x:row r="58" ht="15" hidden="0" customHeight="1">
      <x:c r="A58" s="315"/>
      <x:c r="B58" s="315"/>
      <x:c r="C58" s="315"/>
      <x:c r="D58" s="315"/>
      <x:c r="E58" s="315"/>
      <x:c r="F58" s="315"/>
      <x:c r="G58" s="315"/>
      <x:c r="H58" s="315"/>
      <x:c r="I58" s="315"/>
      <x:c r="J58" s="315"/>
      <x:c r="K58" s="315"/>
    </x:row>
    <x:row r="59" ht="15" hidden="0" customHeight="1">
      <x:c r="A59" s="315"/>
      <x:c r="B59" s="315"/>
      <x:c r="C59" s="315"/>
      <x:c r="D59" s="315"/>
      <x:c r="E59" s="315"/>
      <x:c r="F59" s="315"/>
      <x:c r="G59" s="315"/>
      <x:c r="H59" s="315"/>
      <x:c r="I59" s="315"/>
      <x:c r="J59" s="315"/>
      <x:c r="K59" s="315"/>
    </x:row>
    <x:row r="60" ht="15" hidden="0" customHeight="1">
      <x:c r="A60" s="315"/>
      <x:c r="B60" s="315"/>
      <x:c r="C60" s="315"/>
      <x:c r="D60" s="315"/>
      <x:c r="E60" s="315"/>
      <x:c r="F60" s="315"/>
      <x:c r="G60" s="315"/>
      <x:c r="H60" s="315"/>
      <x:c r="I60" s="315"/>
      <x:c r="J60" s="315"/>
      <x:c r="K60" s="315"/>
    </x:row>
    <x:row r="61" ht="15" hidden="0" customHeight="1">
      <x:c r="A61" s="315"/>
      <x:c r="B61" s="315"/>
      <x:c r="C61" s="315"/>
      <x:c r="D61" s="315"/>
      <x:c r="E61" s="315"/>
      <x:c r="F61" s="315"/>
      <x:c r="G61" s="315"/>
      <x:c r="H61" s="315"/>
      <x:c r="I61" s="315"/>
      <x:c r="J61" s="315"/>
      <x:c r="K61" s="315"/>
    </x:row>
    <x:row r="62" ht="15" hidden="0" customHeight="1">
      <x:c r="A62" s="315"/>
      <x:c r="B62" s="315"/>
      <x:c r="C62" s="315"/>
      <x:c r="D62" s="315"/>
      <x:c r="E62" s="315"/>
      <x:c r="F62" s="315"/>
      <x:c r="G62" s="315"/>
      <x:c r="H62" s="315"/>
      <x:c r="I62" s="315"/>
      <x:c r="J62" s="315"/>
      <x:c r="K62" s="315"/>
    </x:row>
    <x:row r="63" ht="15" hidden="0" customHeight="1">
      <x:c r="A63" s="315"/>
      <x:c r="B63" s="315"/>
      <x:c r="C63" s="315"/>
      <x:c r="D63" s="315"/>
      <x:c r="E63" s="315"/>
      <x:c r="F63" s="315"/>
      <x:c r="G63" s="315"/>
      <x:c r="H63" s="315"/>
      <x:c r="I63" s="315"/>
      <x:c r="J63" s="315"/>
      <x:c r="K63" s="315"/>
    </x:row>
    <x:row r="64" ht="15" hidden="0" customHeight="1">
      <x:c r="A64" s="315"/>
      <x:c r="B64" s="315"/>
      <x:c r="C64" s="315"/>
      <x:c r="D64" s="315"/>
      <x:c r="E64" s="315"/>
      <x:c r="F64" s="315"/>
      <x:c r="G64" s="315"/>
      <x:c r="H64" s="315"/>
      <x:c r="I64" s="315"/>
      <x:c r="J64" s="315"/>
      <x:c r="K64" s="315"/>
    </x:row>
    <x:row r="65" ht="15" hidden="0" customHeight="1">
      <x:c r="A65" s="315"/>
      <x:c r="B65" s="315"/>
      <x:c r="C65" s="315"/>
      <x:c r="D65" s="315"/>
      <x:c r="E65" s="315"/>
      <x:c r="F65" s="315"/>
      <x:c r="G65" s="315"/>
      <x:c r="H65" s="315"/>
      <x:c r="I65" s="315"/>
      <x:c r="J65" s="315"/>
      <x:c r="K65" s="315"/>
    </x:row>
    <x:row r="66" ht="15" hidden="0" customHeight="1">
      <x:c r="A66" s="315"/>
      <x:c r="B66" s="315"/>
      <x:c r="C66" s="315"/>
      <x:c r="D66" s="315"/>
      <x:c r="E66" s="315"/>
      <x:c r="F66" s="315"/>
      <x:c r="G66" s="315"/>
      <x:c r="H66" s="315"/>
      <x:c r="I66" s="315"/>
      <x:c r="J66" s="315"/>
      <x:c r="K66" s="315"/>
    </x:row>
    <x:row r="67" ht="15" hidden="0" customHeight="1">
      <x:c r="A67" s="315"/>
      <x:c r="B67" s="315"/>
      <x:c r="C67" s="315"/>
      <x:c r="D67" s="315"/>
      <x:c r="E67" s="315"/>
      <x:c r="F67" s="315"/>
      <x:c r="G67" s="315"/>
      <x:c r="H67" s="315"/>
      <x:c r="I67" s="315"/>
      <x:c r="J67" s="315"/>
      <x:c r="K67" s="315"/>
    </x:row>
    <x:row r="68" ht="15" hidden="0" customHeight="1">
      <x:c r="A68" s="315"/>
      <x:c r="B68" s="315"/>
      <x:c r="C68" s="315"/>
      <x:c r="D68" s="315"/>
      <x:c r="E68" s="315"/>
      <x:c r="F68" s="315"/>
      <x:c r="G68" s="315"/>
      <x:c r="H68" s="315"/>
      <x:c r="I68" s="315"/>
      <x:c r="J68" s="315"/>
      <x:c r="K68" s="315"/>
    </x:row>
    <x:row r="69" ht="15" hidden="0" customHeight="1">
      <x:c r="A69" s="315"/>
      <x:c r="B69" s="315"/>
      <x:c r="C69" s="315"/>
      <x:c r="D69" s="315"/>
      <x:c r="E69" s="315"/>
      <x:c r="F69" s="315"/>
      <x:c r="G69" s="315"/>
      <x:c r="H69" s="315"/>
      <x:c r="I69" s="315"/>
      <x:c r="J69" s="315"/>
      <x:c r="K69" s="315"/>
    </x:row>
    <x:row r="70" ht="15" hidden="0" customHeight="1">
      <x:c r="A70" s="315"/>
      <x:c r="B70" s="315"/>
      <x:c r="C70" s="315"/>
      <x:c r="D70" s="315"/>
      <x:c r="E70" s="315"/>
      <x:c r="F70" s="315"/>
      <x:c r="G70" s="315"/>
      <x:c r="H70" s="315"/>
      <x:c r="I70" s="315"/>
      <x:c r="J70" s="315"/>
      <x:c r="K70" s="315"/>
    </x:row>
    <x:row r="71" ht="15" hidden="0" customHeight="1">
      <x:c r="A71" s="315"/>
      <x:c r="B71" s="315"/>
      <x:c r="C71" s="315"/>
      <x:c r="D71" s="315"/>
      <x:c r="E71" s="315"/>
      <x:c r="F71" s="315"/>
      <x:c r="G71" s="315"/>
      <x:c r="H71" s="315"/>
      <x:c r="I71" s="315"/>
      <x:c r="J71" s="315"/>
      <x:c r="K71" s="315"/>
    </x:row>
    <x:row r="72" ht="15" hidden="0" customHeight="1">
      <x:c r="A72" s="315"/>
      <x:c r="B72" s="315"/>
      <x:c r="C72" s="315"/>
      <x:c r="D72" s="315"/>
      <x:c r="E72" s="315"/>
      <x:c r="F72" s="315"/>
      <x:c r="G72" s="315"/>
      <x:c r="H72" s="315"/>
      <x:c r="I72" s="315"/>
      <x:c r="J72" s="315"/>
      <x:c r="K72" s="315"/>
    </x:row>
    <x:row r="73" ht="15" hidden="0" customHeight="1">
      <x:c r="A73" s="315"/>
      <x:c r="B73" s="315"/>
      <x:c r="C73" s="315"/>
      <x:c r="D73" s="315"/>
      <x:c r="E73" s="315"/>
      <x:c r="F73" s="315"/>
      <x:c r="G73" s="315"/>
      <x:c r="H73" s="315"/>
      <x:c r="I73" s="315"/>
      <x:c r="J73" s="315"/>
      <x:c r="K73" s="315"/>
    </x:row>
    <x:row r="74" ht="15" hidden="0" customHeight="1">
      <x:c r="A74" s="315"/>
      <x:c r="B74" s="315"/>
      <x:c r="C74" s="315"/>
      <x:c r="D74" s="315"/>
      <x:c r="E74" s="315"/>
      <x:c r="F74" s="315"/>
      <x:c r="G74" s="315"/>
      <x:c r="H74" s="315"/>
      <x:c r="I74" s="315"/>
      <x:c r="J74" s="315"/>
      <x:c r="K74" s="315"/>
    </x:row>
    <x:row r="75" ht="15" hidden="0" customHeight="1">
      <x:c r="A75" s="315"/>
      <x:c r="B75" s="315"/>
      <x:c r="C75" s="315"/>
      <x:c r="D75" s="315"/>
      <x:c r="E75" s="315"/>
      <x:c r="F75" s="315"/>
      <x:c r="G75" s="315"/>
      <x:c r="H75" s="315"/>
      <x:c r="I75" s="315"/>
      <x:c r="J75" s="315"/>
      <x:c r="K75" s="315"/>
    </x:row>
    <x:row r="76" ht="15" hidden="0" customHeight="1">
      <x:c r="A76" s="315"/>
      <x:c r="B76" s="315"/>
      <x:c r="C76" s="315"/>
      <x:c r="D76" s="315"/>
      <x:c r="E76" s="315"/>
      <x:c r="F76" s="315"/>
      <x:c r="G76" s="315"/>
      <x:c r="H76" s="315"/>
      <x:c r="I76" s="315"/>
      <x:c r="J76" s="315"/>
      <x:c r="K76" s="315"/>
    </x:row>
    <x:row r="77" ht="15" hidden="0" customHeight="1">
      <x:c r="A77" s="315"/>
      <x:c r="B77" s="315"/>
      <x:c r="C77" s="315"/>
      <x:c r="D77" s="315"/>
      <x:c r="E77" s="315"/>
      <x:c r="F77" s="315"/>
      <x:c r="G77" s="315"/>
      <x:c r="H77" s="315"/>
      <x:c r="I77" s="315"/>
      <x:c r="J77" s="315"/>
      <x:c r="K77" s="315"/>
    </x:row>
    <x:row r="78" ht="15" hidden="0" customHeight="1">
      <x:c r="A78" s="315"/>
      <x:c r="B78" s="315"/>
      <x:c r="C78" s="315"/>
      <x:c r="D78" s="315"/>
      <x:c r="E78" s="315"/>
      <x:c r="F78" s="315"/>
      <x:c r="G78" s="315"/>
      <x:c r="H78" s="315"/>
      <x:c r="I78" s="315"/>
      <x:c r="J78" s="315"/>
      <x:c r="K78" s="315"/>
    </x:row>
    <x:row r="79" ht="15" hidden="0" customHeight="1">
      <x:c r="A79" s="315"/>
      <x:c r="B79" s="315"/>
      <x:c r="C79" s="315"/>
      <x:c r="D79" s="315"/>
      <x:c r="E79" s="315"/>
      <x:c r="F79" s="315"/>
      <x:c r="G79" s="315"/>
      <x:c r="H79" s="315"/>
      <x:c r="I79" s="315"/>
      <x:c r="J79" s="315"/>
      <x:c r="K79" s="315"/>
    </x:row>
    <x:row r="80" ht="15" hidden="0" customHeight="1">
      <x:c r="A80" s="315"/>
      <x:c r="B80" s="315"/>
      <x:c r="C80" s="315"/>
      <x:c r="D80" s="315"/>
      <x:c r="E80" s="315"/>
      <x:c r="F80" s="315"/>
      <x:c r="G80" s="315"/>
      <x:c r="H80" s="315"/>
      <x:c r="I80" s="315"/>
      <x:c r="J80" s="315"/>
      <x:c r="K80" s="315"/>
    </x:row>
  </x:sheetData>
  <x:mergeCells>
    <x:mergeCell ref="A1:H1"/>
    <x:mergeCell ref="A2:H2"/>
    <x:mergeCell ref="A4:H4"/>
    <x:mergeCell ref="A13:H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10" hidden="0" customWidth="1"/>
    <x:col min="5" max="5" width="10" hidden="0" customWidth="1"/>
    <x:col min="6" max="6" width="10" hidden="0" customWidth="1"/>
  </x:cols>
  <x:sheetData>
    <x:row r="1" ht="28" hidden="0" customHeight="1">
      <x:c r="A1" s="867" t="str">
        <x:v>Inputs · Core Settings</x:v>
      </x:c>
      <x:c r="B1" s="867"/>
      <x:c r="C1" s="867"/>
      <x:c r="D1" s="315"/>
      <x:c r="E1" s="315"/>
      <x:c r="F1" s="315"/>
      <x:c r="G1" s="315"/>
      <x:c r="H1" s="315"/>
      <x:c r="I1" s="315"/>
      <x:c r="J1" s="315"/>
      <x:c r="K1" s="315"/>
    </x:row>
    <x:row r="2" ht="15" hidden="0" customHeight="1">
      <x:c r="A2" s="519" t="str">
        <x:v>Main monthly setup</x:v>
      </x:c>
      <x:c r="B2" s="519"/>
      <x:c r="C2" s="519"/>
      <x:c r="D2" s="315"/>
      <x:c r="E2" s="315"/>
      <x:c r="F2" s="315"/>
      <x:c r="G2" s="315"/>
      <x:c r="H2" s="315"/>
      <x:c r="I2" s="315"/>
      <x:c r="J2" s="315"/>
      <x:c r="K2" s="315"/>
    </x:row>
    <x:row r="3" ht="15" hidden="0" customHeight="1">
      <x:c r="A3" s="909"/>
      <x:c r="B3" s="909"/>
      <x:c r="C3" s="909"/>
      <x:c r="D3" s="315"/>
      <x:c r="E3" s="315"/>
      <x:c r="F3" s="315"/>
      <x:c r="G3" s="315"/>
      <x:c r="H3" s="315"/>
      <x:c r="I3" s="315"/>
      <x:c r="J3" s="315"/>
      <x:c r="K3" s="315"/>
    </x:row>
    <x:row r="4" ht="22" hidden="0" customHeight="1">
      <x:c r="A4" s="900" t="str">
        <x:v>Field</x:v>
      </x:c>
      <x:c r="B4" s="900" t="str">
        <x:v>Value</x:v>
      </x:c>
      <x:c r="C4" s="900" t="str">
        <x:v>Notes</x:v>
      </x:c>
      <x:c r="D4" s="315"/>
      <x:c r="E4" s="315"/>
      <x:c r="F4" s="315"/>
      <x:c r="G4" s="315"/>
      <x:c r="H4" s="315"/>
      <x:c r="I4" s="315"/>
      <x:c r="J4" s="315"/>
      <x:c r="K4" s="315"/>
    </x:row>
    <x:row r="5" ht="15" hidden="0" customHeight="1">
      <x:c r="A5" s="900" t="str">
        <x:v>Month</x:v>
      </x:c>
      <x:c r="B5" s="896" t="str">
        <x:v>2026 May</x:v>
      </x:c>
      <x:c r="C5" s="896" t="str">
        <x:v>The month you are planning.</x:v>
      </x:c>
      <x:c r="D5" s="315"/>
      <x:c r="E5" s="315"/>
      <x:c r="F5" s="315"/>
      <x:c r="G5" s="315"/>
      <x:c r="H5" s="315"/>
      <x:c r="I5" s="315"/>
      <x:c r="J5" s="315"/>
      <x:c r="K5" s="315"/>
    </x:row>
    <x:row r="6" ht="15" hidden="0" customHeight="1">
      <x:c r="A6" s="900" t="str">
        <x:v>Currency</x:v>
      </x:c>
      <x:c r="B6" s="896" t="str">
        <x:v>€</x:v>
      </x:c>
      <x:c r="C6" s="896" t="str">
        <x:v>Currency symbol.</x:v>
      </x:c>
      <x:c r="D6" s="315"/>
      <x:c r="E6" s="315"/>
      <x:c r="F6" s="315"/>
      <x:c r="G6" s="315"/>
      <x:c r="H6" s="315"/>
      <x:c r="I6" s="315"/>
      <x:c r="J6" s="315"/>
      <x:c r="K6" s="315"/>
    </x:row>
    <x:row r="7" ht="15" hidden="0" customHeight="1">
      <x:c r="A7" s="900" t="str">
        <x:v>User / Household</x:v>
      </x:c>
      <x:c r="B7" s="903" t="str">
        <x:v>StillOak Studio User</x:v>
      </x:c>
      <x:c r="C7" s="896" t="str">
        <x:v>Person or household name.</x:v>
      </x:c>
      <x:c r="D7" s="315"/>
      <x:c r="E7" s="315"/>
      <x:c r="F7" s="315"/>
      <x:c r="G7" s="315"/>
      <x:c r="H7" s="315"/>
      <x:c r="I7" s="315"/>
      <x:c r="J7" s="315"/>
      <x:c r="K7" s="315"/>
    </x:row>
    <x:row r="8" ht="15" hidden="0" customHeight="1">
      <x:c r="A8" s="900" t="str">
        <x:v>Savings target %</x:v>
      </x:c>
      <x:c r="B8" s="904" t="n">
        <x:v>0.2</x:v>
      </x:c>
      <x:c r="C8" s="896" t="str">
        <x:v>Target savings rate.</x:v>
      </x:c>
      <x:c r="D8" s="315"/>
      <x:c r="E8" s="315"/>
      <x:c r="F8" s="315"/>
      <x:c r="G8" s="315"/>
      <x:c r="H8" s="315"/>
      <x:c r="I8" s="315"/>
      <x:c r="J8" s="315"/>
      <x:c r="K8" s="315"/>
    </x:row>
    <x:row r="9" ht="15" hidden="0" customHeight="1">
      <x:c r="A9" s="900" t="str">
        <x:v>Emergency fund target</x:v>
      </x:c>
      <x:c r="B9" s="904" t="n">
        <x:v>3000</x:v>
      </x:c>
      <x:c r="C9" s="896" t="str">
        <x:v>Target emergency fund amount.</x:v>
      </x:c>
      <x:c r="D9" s="315"/>
      <x:c r="E9" s="315"/>
      <x:c r="F9" s="315"/>
      <x:c r="G9" s="315"/>
      <x:c r="H9" s="315"/>
      <x:c r="I9" s="315"/>
      <x:c r="J9" s="315"/>
      <x:c r="K9" s="315"/>
    </x:row>
    <x:row r="10" ht="15" hidden="0" customHeight="1">
      <x:c r="A10" s="900" t="str">
        <x:v>Current emergency fund</x:v>
      </x:c>
      <x:c r="B10" s="896" t="n">
        <x:v>850</x:v>
      </x:c>
      <x:c r="C10" s="896" t="str">
        <x:v>Current emergency fund amount.</x:v>
      </x:c>
      <x:c r="D10" s="315"/>
      <x:c r="E10" s="315"/>
      <x:c r="F10" s="315"/>
      <x:c r="G10" s="315"/>
      <x:c r="H10" s="315"/>
      <x:c r="I10" s="315"/>
      <x:c r="J10" s="315"/>
      <x:c r="K10" s="315"/>
    </x:row>
    <x:row r="11" ht="15" hidden="0" customHeight="1">
      <x:c r="A11" s="900" t="str">
        <x:v>Monthly note</x:v>
      </x:c>
      <x:c r="B11" s="905" t="str">
        <x:v>First V10 budget month</x:v>
      </x:c>
      <x:c r="C11" s="896" t="str">
        <x:v>Short note for the month.</x:v>
      </x:c>
      <x:c r="D11" s="315"/>
      <x:c r="E11" s="315"/>
      <x:c r="F11" s="315"/>
      <x:c r="G11" s="315"/>
      <x:c r="H11" s="315"/>
      <x:c r="I11" s="315"/>
      <x:c r="J11" s="315"/>
      <x:c r="K11" s="315"/>
    </x:row>
    <x:row r="12" ht="15" hidden="0" customHeight="1">
      <x:c r="A12" s="315"/>
      <x:c r="B12" s="315"/>
      <x:c r="C12" s="315"/>
      <x:c r="D12" s="315"/>
      <x:c r="E12" s="315"/>
      <x:c r="F12" s="315"/>
      <x:c r="G12" s="315"/>
      <x:c r="H12" s="315"/>
      <x:c r="I12" s="315"/>
      <x:c r="J12" s="315"/>
      <x:c r="K12" s="315"/>
    </x:row>
    <x:row r="13" ht="15" hidden="0" customHeight="1">
      <x:c r="A13" s="315"/>
      <x:c r="B13" s="315"/>
      <x:c r="C13" s="315"/>
      <x:c r="D13" s="315"/>
      <x:c r="E13" s="315"/>
      <x:c r="F13" s="315"/>
      <x:c r="G13" s="315"/>
      <x:c r="H13" s="315"/>
      <x:c r="I13" s="315"/>
      <x:c r="J13" s="315"/>
      <x:c r="K13" s="315"/>
    </x:row>
    <x:row r="14" ht="15" hidden="0" customHeight="1">
      <x:c r="A14" s="315"/>
      <x:c r="B14" s="315"/>
      <x:c r="C14" s="315"/>
      <x:c r="D14" s="315"/>
      <x:c r="E14" s="315"/>
      <x:c r="F14" s="315"/>
      <x:c r="G14" s="315"/>
      <x:c r="H14" s="315"/>
      <x:c r="I14" s="315"/>
      <x:c r="J14" s="315"/>
      <x:c r="K14" s="315"/>
    </x:row>
    <x:row r="15" ht="15" hidden="0" customHeight="1">
      <x:c r="A15" s="315"/>
      <x:c r="B15" s="315"/>
      <x:c r="C15" s="315"/>
      <x:c r="D15" s="315"/>
      <x:c r="E15" s="315"/>
      <x:c r="F15" s="315"/>
      <x:c r="G15" s="315"/>
      <x:c r="H15" s="315"/>
      <x:c r="I15" s="315"/>
      <x:c r="J15" s="315"/>
      <x:c r="K15" s="315"/>
    </x:row>
    <x:row r="16" ht="15" hidden="0" customHeight="1">
      <x:c r="A16" s="315"/>
      <x:c r="B16" s="315"/>
      <x:c r="C16" s="315"/>
      <x:c r="D16" s="315"/>
      <x:c r="E16" s="315"/>
      <x:c r="F16" s="315"/>
      <x:c r="G16" s="315"/>
      <x:c r="H16" s="315"/>
      <x:c r="I16" s="315"/>
      <x:c r="J16" s="315"/>
      <x:c r="K16" s="315"/>
    </x:row>
    <x:row r="17" ht="15" hidden="0" customHeight="1">
      <x:c r="A17" s="315"/>
      <x:c r="B17" s="315"/>
      <x:c r="C17" s="315"/>
      <x:c r="D17" s="315"/>
      <x:c r="E17" s="315"/>
      <x:c r="F17" s="315"/>
      <x:c r="G17" s="315"/>
      <x:c r="H17" s="315"/>
      <x:c r="I17" s="315"/>
      <x:c r="J17" s="315"/>
      <x:c r="K17" s="315"/>
    </x:row>
    <x:row r="18" ht="15" hidden="0" customHeight="1">
      <x:c r="A18" s="315"/>
      <x:c r="B18" s="315"/>
      <x:c r="C18" s="315"/>
      <x:c r="D18" s="315"/>
      <x:c r="E18" s="315"/>
      <x:c r="F18" s="315"/>
      <x:c r="G18" s="315"/>
      <x:c r="H18" s="315"/>
      <x:c r="I18" s="315"/>
      <x:c r="J18" s="315"/>
      <x:c r="K18" s="315"/>
    </x:row>
    <x:row r="19" ht="15" hidden="0" customHeight="1">
      <x:c r="A19" s="315"/>
      <x:c r="B19" s="315"/>
      <x:c r="C19" s="315"/>
      <x:c r="D19" s="315"/>
      <x:c r="E19" s="315"/>
      <x:c r="F19" s="315"/>
      <x:c r="G19" s="315"/>
      <x:c r="H19" s="315"/>
      <x:c r="I19" s="315"/>
      <x:c r="J19" s="315"/>
      <x:c r="K19" s="315"/>
    </x:row>
    <x:row r="20" ht="15" hidden="0" customHeight="1">
      <x:c r="A20" s="315"/>
      <x:c r="B20" s="315"/>
      <x:c r="C20" s="315"/>
      <x:c r="D20" s="315"/>
      <x:c r="E20" s="315"/>
      <x:c r="F20" s="315"/>
      <x:c r="G20" s="315"/>
      <x:c r="H20" s="315"/>
      <x:c r="I20" s="315"/>
      <x:c r="J20" s="315"/>
      <x:c r="K20" s="315"/>
    </x:row>
    <x:row r="21" ht="15" hidden="0" customHeight="1">
      <x:c r="A21" s="315"/>
      <x:c r="B21" s="315"/>
      <x:c r="C21" s="315"/>
      <x:c r="D21" s="315"/>
      <x:c r="E21" s="315"/>
      <x:c r="F21" s="315"/>
      <x:c r="G21" s="315"/>
      <x:c r="H21" s="315"/>
      <x:c r="I21" s="315"/>
      <x:c r="J21" s="315"/>
      <x:c r="K21" s="315"/>
    </x:row>
    <x:row r="22" ht="15" hidden="0" customHeight="1">
      <x:c r="A22" s="315"/>
      <x:c r="B22" s="315"/>
      <x:c r="C22" s="315"/>
      <x:c r="D22" s="315"/>
      <x:c r="E22" s="315"/>
      <x:c r="F22" s="315"/>
      <x:c r="G22" s="315"/>
      <x:c r="H22" s="315"/>
      <x:c r="I22" s="315"/>
      <x:c r="J22" s="315"/>
      <x:c r="K22" s="315"/>
    </x:row>
    <x:row r="23" ht="15" hidden="0" customHeight="1">
      <x:c r="A23" s="315"/>
      <x:c r="B23" s="315"/>
      <x:c r="C23" s="315"/>
      <x:c r="D23" s="315"/>
      <x:c r="E23" s="315"/>
      <x:c r="F23" s="315"/>
      <x:c r="G23" s="315"/>
      <x:c r="H23" s="315"/>
      <x:c r="I23" s="315"/>
      <x:c r="J23" s="315"/>
      <x:c r="K23" s="315"/>
    </x:row>
    <x:row r="24" ht="15" hidden="0" customHeight="1">
      <x:c r="A24" s="315"/>
      <x:c r="B24" s="315"/>
      <x:c r="C24" s="315"/>
      <x:c r="D24" s="315"/>
      <x:c r="E24" s="315"/>
      <x:c r="F24" s="315"/>
      <x:c r="G24" s="315"/>
      <x:c r="H24" s="315"/>
      <x:c r="I24" s="315"/>
      <x:c r="J24" s="315"/>
      <x:c r="K24" s="315"/>
    </x:row>
    <x:row r="25" ht="15" hidden="0" customHeight="1">
      <x:c r="A25" s="315"/>
      <x:c r="B25" s="315"/>
      <x:c r="C25" s="315"/>
      <x:c r="D25" s="315"/>
      <x:c r="E25" s="315"/>
      <x:c r="F25" s="315"/>
      <x:c r="G25" s="315"/>
      <x:c r="H25" s="315"/>
      <x:c r="I25" s="315"/>
      <x:c r="J25" s="315"/>
      <x:c r="K25" s="315"/>
    </x:row>
    <x:row r="26" ht="15" hidden="0" customHeight="1">
      <x:c r="A26" s="315"/>
      <x:c r="B26" s="315"/>
      <x:c r="C26" s="315"/>
      <x:c r="D26" s="315"/>
      <x:c r="E26" s="315"/>
      <x:c r="F26" s="315"/>
      <x:c r="G26" s="315"/>
      <x:c r="H26" s="315"/>
      <x:c r="I26" s="315"/>
      <x:c r="J26" s="315"/>
      <x:c r="K26" s="315"/>
    </x:row>
    <x:row r="27" ht="15" hidden="0" customHeight="1">
      <x:c r="A27" s="315"/>
      <x:c r="B27" s="315"/>
      <x:c r="C27" s="315"/>
      <x:c r="D27" s="315"/>
      <x:c r="E27" s="315"/>
      <x:c r="F27" s="315"/>
      <x:c r="G27" s="315"/>
      <x:c r="H27" s="315"/>
      <x:c r="I27" s="315"/>
      <x:c r="J27" s="315"/>
      <x:c r="K27" s="315"/>
    </x:row>
    <x:row r="28" ht="15" hidden="0" customHeight="1">
      <x:c r="A28" s="315"/>
      <x:c r="B28" s="315"/>
      <x:c r="C28" s="315"/>
      <x:c r="D28" s="315"/>
      <x:c r="E28" s="315"/>
      <x:c r="F28" s="315"/>
      <x:c r="G28" s="315"/>
      <x:c r="H28" s="315"/>
      <x:c r="I28" s="315"/>
      <x:c r="J28" s="315"/>
      <x:c r="K28" s="315"/>
    </x:row>
    <x:row r="29" ht="15" hidden="0" customHeight="1">
      <x:c r="A29" s="315"/>
      <x:c r="B29" s="315"/>
      <x:c r="C29" s="315"/>
      <x:c r="D29" s="315"/>
      <x:c r="E29" s="315"/>
      <x:c r="F29" s="315"/>
      <x:c r="G29" s="315"/>
      <x:c r="H29" s="315"/>
      <x:c r="I29" s="315"/>
      <x:c r="J29" s="315"/>
      <x:c r="K29" s="315"/>
    </x:row>
    <x:row r="30" ht="15" hidden="0" customHeight="1">
      <x:c r="A30" s="315"/>
      <x:c r="B30" s="315"/>
      <x:c r="C30" s="315"/>
      <x:c r="D30" s="315"/>
      <x:c r="E30" s="315"/>
      <x:c r="F30" s="315"/>
      <x:c r="G30" s="315"/>
      <x:c r="H30" s="315"/>
      <x:c r="I30" s="315"/>
      <x:c r="J30" s="315"/>
      <x:c r="K30" s="315"/>
    </x:row>
    <x:row r="31" ht="15" hidden="0" customHeight="1">
      <x:c r="A31" s="315"/>
      <x:c r="B31" s="315"/>
      <x:c r="C31" s="315"/>
      <x:c r="D31" s="315"/>
      <x:c r="E31" s="315"/>
      <x:c r="F31" s="315"/>
      <x:c r="G31" s="315"/>
      <x:c r="H31" s="315"/>
      <x:c r="I31" s="315"/>
      <x:c r="J31" s="315"/>
      <x:c r="K31" s="315"/>
    </x:row>
    <x:row r="32" ht="15" hidden="0" customHeight="1">
      <x:c r="A32" s="315"/>
      <x:c r="B32" s="315"/>
      <x:c r="C32" s="315"/>
      <x:c r="D32" s="315"/>
      <x:c r="E32" s="315"/>
      <x:c r="F32" s="315"/>
      <x:c r="G32" s="315"/>
      <x:c r="H32" s="315"/>
      <x:c r="I32" s="315"/>
      <x:c r="J32" s="315"/>
      <x:c r="K32" s="315"/>
    </x:row>
    <x:row r="33" ht="15" hidden="0" customHeight="1">
      <x:c r="A33" s="315"/>
      <x:c r="B33" s="315"/>
      <x:c r="C33" s="315"/>
      <x:c r="D33" s="315"/>
      <x:c r="E33" s="315"/>
      <x:c r="F33" s="315"/>
      <x:c r="G33" s="315"/>
      <x:c r="H33" s="315"/>
      <x:c r="I33" s="315"/>
      <x:c r="J33" s="315"/>
      <x:c r="K33" s="315"/>
    </x:row>
    <x:row r="34" ht="15" hidden="0" customHeight="1">
      <x:c r="A34" s="315"/>
      <x:c r="B34" s="315"/>
      <x:c r="C34" s="315"/>
      <x:c r="D34" s="315"/>
      <x:c r="E34" s="315"/>
      <x:c r="F34" s="315"/>
      <x:c r="G34" s="315"/>
      <x:c r="H34" s="315"/>
      <x:c r="I34" s="315"/>
      <x:c r="J34" s="315"/>
      <x:c r="K34" s="315"/>
    </x:row>
    <x:row r="35" ht="15" hidden="0" customHeight="1">
      <x:c r="A35" s="315"/>
      <x:c r="B35" s="315"/>
      <x:c r="C35" s="315"/>
      <x:c r="D35" s="315"/>
      <x:c r="E35" s="315"/>
      <x:c r="F35" s="315"/>
      <x:c r="G35" s="315"/>
      <x:c r="H35" s="315"/>
      <x:c r="I35" s="315"/>
      <x:c r="J35" s="315"/>
      <x:c r="K35" s="315"/>
    </x:row>
    <x:row r="36" ht="15" hidden="0" customHeight="1">
      <x:c r="A36" s="315"/>
      <x:c r="B36" s="315"/>
      <x:c r="C36" s="315"/>
      <x:c r="D36" s="315"/>
      <x:c r="E36" s="315"/>
      <x:c r="F36" s="315"/>
      <x:c r="G36" s="315"/>
      <x:c r="H36" s="315"/>
      <x:c r="I36" s="315"/>
      <x:c r="J36" s="315"/>
      <x:c r="K36" s="315"/>
    </x:row>
    <x:row r="37" ht="15" hidden="0" customHeight="1">
      <x:c r="A37" s="315"/>
      <x:c r="B37" s="315"/>
      <x:c r="C37" s="315"/>
      <x:c r="D37" s="315"/>
      <x:c r="E37" s="315"/>
      <x:c r="F37" s="315"/>
      <x:c r="G37" s="315"/>
      <x:c r="H37" s="315"/>
      <x:c r="I37" s="315"/>
      <x:c r="J37" s="315"/>
      <x:c r="K37" s="315"/>
    </x:row>
    <x:row r="38" ht="15" hidden="0" customHeight="1">
      <x:c r="A38" s="315"/>
      <x:c r="B38" s="315"/>
      <x:c r="C38" s="315"/>
      <x:c r="D38" s="315"/>
      <x:c r="E38" s="315"/>
      <x:c r="F38" s="315"/>
      <x:c r="G38" s="315"/>
      <x:c r="H38" s="315"/>
      <x:c r="I38" s="315"/>
      <x:c r="J38" s="315"/>
      <x:c r="K38" s="315"/>
    </x:row>
    <x:row r="39" ht="15" hidden="0" customHeight="1">
      <x:c r="A39" s="315"/>
      <x:c r="B39" s="315"/>
      <x:c r="C39" s="315"/>
      <x:c r="D39" s="315"/>
      <x:c r="E39" s="315"/>
      <x:c r="F39" s="315"/>
      <x:c r="G39" s="315"/>
      <x:c r="H39" s="315"/>
      <x:c r="I39" s="315"/>
      <x:c r="J39" s="315"/>
      <x:c r="K39" s="315"/>
    </x:row>
    <x:row r="40" ht="15" hidden="0" customHeight="1">
      <x:c r="A40" s="315"/>
      <x:c r="B40" s="315"/>
      <x:c r="C40" s="315"/>
      <x:c r="D40" s="315"/>
      <x:c r="E40" s="315"/>
      <x:c r="F40" s="315"/>
      <x:c r="G40" s="315"/>
      <x:c r="H40" s="315"/>
      <x:c r="I40" s="315"/>
      <x:c r="J40" s="315"/>
      <x:c r="K40" s="315"/>
    </x:row>
    <x:row r="41" ht="15" hidden="0" customHeight="1">
      <x:c r="A41" s="315"/>
      <x:c r="B41" s="315"/>
      <x:c r="C41" s="315"/>
      <x:c r="D41" s="315"/>
      <x:c r="E41" s="315"/>
      <x:c r="F41" s="315"/>
      <x:c r="G41" s="315"/>
      <x:c r="H41" s="315"/>
      <x:c r="I41" s="315"/>
      <x:c r="J41" s="315"/>
      <x:c r="K41" s="315"/>
    </x:row>
    <x:row r="42" ht="15" hidden="0" customHeight="1">
      <x:c r="A42" s="315"/>
      <x:c r="B42" s="315"/>
      <x:c r="C42" s="315"/>
      <x:c r="D42" s="315"/>
      <x:c r="E42" s="315"/>
      <x:c r="F42" s="315"/>
      <x:c r="G42" s="315"/>
      <x:c r="H42" s="315"/>
      <x:c r="I42" s="315"/>
      <x:c r="J42" s="315"/>
      <x:c r="K42" s="315"/>
    </x:row>
    <x:row r="43" ht="15" hidden="0" customHeight="1">
      <x:c r="A43" s="315"/>
      <x:c r="B43" s="315"/>
      <x:c r="C43" s="315"/>
      <x:c r="D43" s="315"/>
      <x:c r="E43" s="315"/>
      <x:c r="F43" s="315"/>
      <x:c r="G43" s="315"/>
      <x:c r="H43" s="315"/>
      <x:c r="I43" s="315"/>
      <x:c r="J43" s="315"/>
      <x:c r="K43" s="315"/>
    </x:row>
    <x:row r="44" ht="15" hidden="0" customHeight="1">
      <x:c r="A44" s="315"/>
      <x:c r="B44" s="315"/>
      <x:c r="C44" s="315"/>
      <x:c r="D44" s="315"/>
      <x:c r="E44" s="315"/>
      <x:c r="F44" s="315"/>
      <x:c r="G44" s="315"/>
      <x:c r="H44" s="315"/>
      <x:c r="I44" s="315"/>
      <x:c r="J44" s="315"/>
      <x:c r="K44" s="315"/>
    </x:row>
    <x:row r="45" ht="15" hidden="0" customHeight="1">
      <x:c r="A45" s="315"/>
      <x:c r="B45" s="315"/>
      <x:c r="C45" s="315"/>
      <x:c r="D45" s="315"/>
      <x:c r="E45" s="315"/>
      <x:c r="F45" s="315"/>
      <x:c r="G45" s="315"/>
      <x:c r="H45" s="315"/>
      <x:c r="I45" s="315"/>
      <x:c r="J45" s="315"/>
      <x:c r="K45" s="315"/>
    </x:row>
    <x:row r="46" ht="15" hidden="0" customHeight="1">
      <x:c r="A46" s="315"/>
      <x:c r="B46" s="315"/>
      <x:c r="C46" s="315"/>
      <x:c r="D46" s="315"/>
      <x:c r="E46" s="315"/>
      <x:c r="F46" s="315"/>
      <x:c r="G46" s="315"/>
      <x:c r="H46" s="315"/>
      <x:c r="I46" s="315"/>
      <x:c r="J46" s="315"/>
      <x:c r="K46" s="315"/>
    </x:row>
    <x:row r="47" ht="15" hidden="0" customHeight="1">
      <x:c r="A47" s="315"/>
      <x:c r="B47" s="315"/>
      <x:c r="C47" s="315"/>
      <x:c r="D47" s="315"/>
      <x:c r="E47" s="315"/>
      <x:c r="F47" s="315"/>
      <x:c r="G47" s="315"/>
      <x:c r="H47" s="315"/>
      <x:c r="I47" s="315"/>
      <x:c r="J47" s="315"/>
      <x:c r="K47" s="315"/>
    </x:row>
    <x:row r="48" ht="15" hidden="0" customHeight="1">
      <x:c r="A48" s="315"/>
      <x:c r="B48" s="315"/>
      <x:c r="C48" s="315"/>
      <x:c r="D48" s="315"/>
      <x:c r="E48" s="315"/>
      <x:c r="F48" s="315"/>
      <x:c r="G48" s="315"/>
      <x:c r="H48" s="315"/>
      <x:c r="I48" s="315"/>
      <x:c r="J48" s="315"/>
      <x:c r="K48" s="315"/>
    </x:row>
    <x:row r="49" ht="15" hidden="0" customHeight="1">
      <x:c r="A49" s="315"/>
      <x:c r="B49" s="315"/>
      <x:c r="C49" s="315"/>
      <x:c r="D49" s="315"/>
      <x:c r="E49" s="315"/>
      <x:c r="F49" s="315"/>
      <x:c r="G49" s="315"/>
      <x:c r="H49" s="315"/>
      <x:c r="I49" s="315"/>
      <x:c r="J49" s="315"/>
      <x:c r="K49" s="315"/>
    </x:row>
    <x:row r="50" ht="15" hidden="0" customHeight="1">
      <x:c r="A50" s="315"/>
      <x:c r="B50" s="315"/>
      <x:c r="C50" s="315"/>
      <x:c r="D50" s="315"/>
      <x:c r="E50" s="315"/>
      <x:c r="F50" s="315"/>
      <x:c r="G50" s="315"/>
      <x:c r="H50" s="315"/>
      <x:c r="I50" s="315"/>
      <x:c r="J50" s="315"/>
      <x:c r="K50" s="315"/>
    </x:row>
    <x:row r="51" ht="15" hidden="0" customHeight="1">
      <x:c r="A51" s="315"/>
      <x:c r="B51" s="315"/>
      <x:c r="C51" s="315"/>
      <x:c r="D51" s="315"/>
      <x:c r="E51" s="315"/>
      <x:c r="F51" s="315"/>
      <x:c r="G51" s="315"/>
      <x:c r="H51" s="315"/>
      <x:c r="I51" s="315"/>
      <x:c r="J51" s="315"/>
      <x:c r="K51" s="315"/>
    </x:row>
    <x:row r="52" ht="15" hidden="0" customHeight="1">
      <x:c r="A52" s="315"/>
      <x:c r="B52" s="315"/>
      <x:c r="C52" s="315"/>
      <x:c r="D52" s="315"/>
      <x:c r="E52" s="315"/>
      <x:c r="F52" s="315"/>
      <x:c r="G52" s="315"/>
      <x:c r="H52" s="315"/>
      <x:c r="I52" s="315"/>
      <x:c r="J52" s="315"/>
      <x:c r="K52" s="315"/>
    </x:row>
    <x:row r="53" ht="15" hidden="0" customHeight="1">
      <x:c r="A53" s="315"/>
      <x:c r="B53" s="315"/>
      <x:c r="C53" s="315"/>
      <x:c r="D53" s="315"/>
      <x:c r="E53" s="315"/>
      <x:c r="F53" s="315"/>
      <x:c r="G53" s="315"/>
      <x:c r="H53" s="315"/>
      <x:c r="I53" s="315"/>
      <x:c r="J53" s="315"/>
      <x:c r="K53" s="315"/>
    </x:row>
    <x:row r="54" ht="15" hidden="0" customHeight="1">
      <x:c r="A54" s="315"/>
      <x:c r="B54" s="315"/>
      <x:c r="C54" s="315"/>
      <x:c r="D54" s="315"/>
      <x:c r="E54" s="315"/>
      <x:c r="F54" s="315"/>
      <x:c r="G54" s="315"/>
      <x:c r="H54" s="315"/>
      <x:c r="I54" s="315"/>
      <x:c r="J54" s="315"/>
      <x:c r="K54" s="315"/>
    </x:row>
    <x:row r="55" ht="15" hidden="0" customHeight="1">
      <x:c r="A55" s="315"/>
      <x:c r="B55" s="315"/>
      <x:c r="C55" s="315"/>
      <x:c r="D55" s="315"/>
      <x:c r="E55" s="315"/>
      <x:c r="F55" s="315"/>
      <x:c r="G55" s="315"/>
      <x:c r="H55" s="315"/>
      <x:c r="I55" s="315"/>
      <x:c r="J55" s="315"/>
      <x:c r="K55" s="315"/>
    </x:row>
    <x:row r="56" ht="15" hidden="0" customHeight="1">
      <x:c r="A56" s="315"/>
      <x:c r="B56" s="315"/>
      <x:c r="C56" s="315"/>
      <x:c r="D56" s="315"/>
      <x:c r="E56" s="315"/>
      <x:c r="F56" s="315"/>
      <x:c r="G56" s="315"/>
      <x:c r="H56" s="315"/>
      <x:c r="I56" s="315"/>
      <x:c r="J56" s="315"/>
      <x:c r="K56" s="315"/>
    </x:row>
    <x:row r="57" ht="15" hidden="0" customHeight="1">
      <x:c r="A57" s="315"/>
      <x:c r="B57" s="315"/>
      <x:c r="C57" s="315"/>
      <x:c r="D57" s="315"/>
      <x:c r="E57" s="315"/>
      <x:c r="F57" s="315"/>
      <x:c r="G57" s="315"/>
      <x:c r="H57" s="315"/>
      <x:c r="I57" s="315"/>
      <x:c r="J57" s="315"/>
      <x:c r="K57" s="315"/>
    </x:row>
    <x:row r="58" ht="15" hidden="0" customHeight="1">
      <x:c r="A58" s="315"/>
      <x:c r="B58" s="315"/>
      <x:c r="C58" s="315"/>
      <x:c r="D58" s="315"/>
      <x:c r="E58" s="315"/>
      <x:c r="F58" s="315"/>
      <x:c r="G58" s="315"/>
      <x:c r="H58" s="315"/>
      <x:c r="I58" s="315"/>
      <x:c r="J58" s="315"/>
      <x:c r="K58" s="315"/>
    </x:row>
    <x:row r="59" ht="15" hidden="0" customHeight="1">
      <x:c r="A59" s="315"/>
      <x:c r="B59" s="315"/>
      <x:c r="C59" s="315"/>
      <x:c r="D59" s="315"/>
      <x:c r="E59" s="315"/>
      <x:c r="F59" s="315"/>
      <x:c r="G59" s="315"/>
      <x:c r="H59" s="315"/>
      <x:c r="I59" s="315"/>
      <x:c r="J59" s="315"/>
      <x:c r="K59" s="315"/>
    </x:row>
    <x:row r="60" ht="15" hidden="0" customHeight="1">
      <x:c r="A60" s="315"/>
      <x:c r="B60" s="315"/>
      <x:c r="C60" s="315"/>
      <x:c r="D60" s="315"/>
      <x:c r="E60" s="315"/>
      <x:c r="F60" s="315"/>
      <x:c r="G60" s="315"/>
      <x:c r="H60" s="315"/>
      <x:c r="I60" s="315"/>
      <x:c r="J60" s="315"/>
      <x:c r="K60" s="315"/>
    </x:row>
    <x:row r="61" ht="15" hidden="0" customHeight="1">
      <x:c r="A61" s="315"/>
      <x:c r="B61" s="315"/>
      <x:c r="C61" s="315"/>
      <x:c r="D61" s="315"/>
      <x:c r="E61" s="315"/>
      <x:c r="F61" s="315"/>
      <x:c r="G61" s="315"/>
      <x:c r="H61" s="315"/>
      <x:c r="I61" s="315"/>
      <x:c r="J61" s="315"/>
      <x:c r="K61" s="315"/>
    </x:row>
    <x:row r="62" ht="15" hidden="0" customHeight="1">
      <x:c r="A62" s="315"/>
      <x:c r="B62" s="315"/>
      <x:c r="C62" s="315"/>
      <x:c r="D62" s="315"/>
      <x:c r="E62" s="315"/>
      <x:c r="F62" s="315"/>
      <x:c r="G62" s="315"/>
      <x:c r="H62" s="315"/>
      <x:c r="I62" s="315"/>
      <x:c r="J62" s="315"/>
      <x:c r="K62" s="315"/>
    </x:row>
    <x:row r="63" ht="15" hidden="0" customHeight="1">
      <x:c r="A63" s="315"/>
      <x:c r="B63" s="315"/>
      <x:c r="C63" s="315"/>
      <x:c r="D63" s="315"/>
      <x:c r="E63" s="315"/>
      <x:c r="F63" s="315"/>
      <x:c r="G63" s="315"/>
      <x:c r="H63" s="315"/>
      <x:c r="I63" s="315"/>
      <x:c r="J63" s="315"/>
      <x:c r="K63" s="315"/>
    </x:row>
    <x:row r="64" ht="15" hidden="0" customHeight="1">
      <x:c r="A64" s="315"/>
      <x:c r="B64" s="315"/>
      <x:c r="C64" s="315"/>
      <x:c r="D64" s="315"/>
      <x:c r="E64" s="315"/>
      <x:c r="F64" s="315"/>
      <x:c r="G64" s="315"/>
      <x:c r="H64" s="315"/>
      <x:c r="I64" s="315"/>
      <x:c r="J64" s="315"/>
      <x:c r="K64" s="315"/>
    </x:row>
    <x:row r="65" ht="15" hidden="0" customHeight="1">
      <x:c r="A65" s="315"/>
      <x:c r="B65" s="315"/>
      <x:c r="C65" s="315"/>
      <x:c r="D65" s="315"/>
      <x:c r="E65" s="315"/>
      <x:c r="F65" s="315"/>
      <x:c r="G65" s="315"/>
      <x:c r="H65" s="315"/>
      <x:c r="I65" s="315"/>
      <x:c r="J65" s="315"/>
      <x:c r="K65" s="315"/>
    </x:row>
    <x:row r="66" ht="15" hidden="0" customHeight="1">
      <x:c r="A66" s="315"/>
      <x:c r="B66" s="315"/>
      <x:c r="C66" s="315"/>
      <x:c r="D66" s="315"/>
      <x:c r="E66" s="315"/>
      <x:c r="F66" s="315"/>
      <x:c r="G66" s="315"/>
      <x:c r="H66" s="315"/>
      <x:c r="I66" s="315"/>
      <x:c r="J66" s="315"/>
      <x:c r="K66" s="315"/>
    </x:row>
    <x:row r="67" ht="15" hidden="0" customHeight="1">
      <x:c r="A67" s="315"/>
      <x:c r="B67" s="315"/>
      <x:c r="C67" s="315"/>
      <x:c r="D67" s="315"/>
      <x:c r="E67" s="315"/>
      <x:c r="F67" s="315"/>
      <x:c r="G67" s="315"/>
      <x:c r="H67" s="315"/>
      <x:c r="I67" s="315"/>
      <x:c r="J67" s="315"/>
      <x:c r="K67" s="315"/>
    </x:row>
    <x:row r="68" ht="15" hidden="0" customHeight="1">
      <x:c r="A68" s="315"/>
      <x:c r="B68" s="315"/>
      <x:c r="C68" s="315"/>
      <x:c r="D68" s="315"/>
      <x:c r="E68" s="315"/>
      <x:c r="F68" s="315"/>
      <x:c r="G68" s="315"/>
      <x:c r="H68" s="315"/>
      <x:c r="I68" s="315"/>
      <x:c r="J68" s="315"/>
      <x:c r="K68" s="315"/>
    </x:row>
    <x:row r="69" ht="15" hidden="0" customHeight="1">
      <x:c r="A69" s="315"/>
      <x:c r="B69" s="315"/>
      <x:c r="C69" s="315"/>
      <x:c r="D69" s="315"/>
      <x:c r="E69" s="315"/>
      <x:c r="F69" s="315"/>
      <x:c r="G69" s="315"/>
      <x:c r="H69" s="315"/>
      <x:c r="I69" s="315"/>
      <x:c r="J69" s="315"/>
      <x:c r="K69" s="315"/>
    </x:row>
    <x:row r="70" ht="15" hidden="0" customHeight="1">
      <x:c r="A70" s="315"/>
      <x:c r="B70" s="315"/>
      <x:c r="C70" s="315"/>
      <x:c r="D70" s="315"/>
      <x:c r="E70" s="315"/>
      <x:c r="F70" s="315"/>
      <x:c r="G70" s="315"/>
      <x:c r="H70" s="315"/>
      <x:c r="I70" s="315"/>
      <x:c r="J70" s="315"/>
      <x:c r="K70" s="315"/>
    </x:row>
    <x:row r="71" ht="15" hidden="0" customHeight="1">
      <x:c r="A71" s="315"/>
      <x:c r="B71" s="315"/>
      <x:c r="C71" s="315"/>
      <x:c r="D71" s="315"/>
      <x:c r="E71" s="315"/>
      <x:c r="F71" s="315"/>
      <x:c r="G71" s="315"/>
      <x:c r="H71" s="315"/>
      <x:c r="I71" s="315"/>
      <x:c r="J71" s="315"/>
      <x:c r="K71" s="315"/>
    </x:row>
    <x:row r="72" ht="15" hidden="0" customHeight="1">
      <x:c r="A72" s="315"/>
      <x:c r="B72" s="315"/>
      <x:c r="C72" s="315"/>
      <x:c r="D72" s="315"/>
      <x:c r="E72" s="315"/>
      <x:c r="F72" s="315"/>
      <x:c r="G72" s="315"/>
      <x:c r="H72" s="315"/>
      <x:c r="I72" s="315"/>
      <x:c r="J72" s="315"/>
      <x:c r="K72" s="315"/>
    </x:row>
    <x:row r="73" ht="15" hidden="0" customHeight="1">
      <x:c r="A73" s="315"/>
      <x:c r="B73" s="315"/>
      <x:c r="C73" s="315"/>
      <x:c r="D73" s="315"/>
      <x:c r="E73" s="315"/>
      <x:c r="F73" s="315"/>
      <x:c r="G73" s="315"/>
      <x:c r="H73" s="315"/>
      <x:c r="I73" s="315"/>
      <x:c r="J73" s="315"/>
      <x:c r="K73" s="315"/>
    </x:row>
    <x:row r="74" ht="15" hidden="0" customHeight="1">
      <x:c r="A74" s="315"/>
      <x:c r="B74" s="315"/>
      <x:c r="C74" s="315"/>
      <x:c r="D74" s="315"/>
      <x:c r="E74" s="315"/>
      <x:c r="F74" s="315"/>
      <x:c r="G74" s="315"/>
      <x:c r="H74" s="315"/>
      <x:c r="I74" s="315"/>
      <x:c r="J74" s="315"/>
      <x:c r="K74" s="315"/>
    </x:row>
    <x:row r="75" ht="15" hidden="0" customHeight="1">
      <x:c r="A75" s="315"/>
      <x:c r="B75" s="315"/>
      <x:c r="C75" s="315"/>
      <x:c r="D75" s="315"/>
      <x:c r="E75" s="315"/>
      <x:c r="F75" s="315"/>
      <x:c r="G75" s="315"/>
      <x:c r="H75" s="315"/>
      <x:c r="I75" s="315"/>
      <x:c r="J75" s="315"/>
      <x:c r="K75" s="315"/>
    </x:row>
    <x:row r="76" ht="15" hidden="0" customHeight="1">
      <x:c r="A76" s="315"/>
      <x:c r="B76" s="315"/>
      <x:c r="C76" s="315"/>
      <x:c r="D76" s="315"/>
      <x:c r="E76" s="315"/>
      <x:c r="F76" s="315"/>
      <x:c r="G76" s="315"/>
      <x:c r="H76" s="315"/>
      <x:c r="I76" s="315"/>
      <x:c r="J76" s="315"/>
      <x:c r="K76" s="315"/>
    </x:row>
    <x:row r="77" ht="15" hidden="0" customHeight="1">
      <x:c r="A77" s="315"/>
      <x:c r="B77" s="315"/>
      <x:c r="C77" s="315"/>
      <x:c r="D77" s="315"/>
      <x:c r="E77" s="315"/>
      <x:c r="F77" s="315"/>
      <x:c r="G77" s="315"/>
      <x:c r="H77" s="315"/>
      <x:c r="I77" s="315"/>
      <x:c r="J77" s="315"/>
      <x:c r="K77" s="315"/>
    </x:row>
    <x:row r="78" ht="15" hidden="0" customHeight="1">
      <x:c r="A78" s="315"/>
      <x:c r="B78" s="315"/>
      <x:c r="C78" s="315"/>
      <x:c r="D78" s="315"/>
      <x:c r="E78" s="315"/>
      <x:c r="F78" s="315"/>
      <x:c r="G78" s="315"/>
      <x:c r="H78" s="315"/>
      <x:c r="I78" s="315"/>
      <x:c r="J78" s="315"/>
      <x:c r="K78" s="315"/>
    </x:row>
    <x:row r="79" ht="15" hidden="0" customHeight="1">
      <x:c r="A79" s="315"/>
      <x:c r="B79" s="315"/>
      <x:c r="C79" s="315"/>
      <x:c r="D79" s="315"/>
      <x:c r="E79" s="315"/>
      <x:c r="F79" s="315"/>
      <x:c r="G79" s="315"/>
      <x:c r="H79" s="315"/>
      <x:c r="I79" s="315"/>
      <x:c r="J79" s="315"/>
      <x:c r="K79" s="315"/>
    </x:row>
    <x:row r="80" ht="15" hidden="0" customHeight="1">
      <x:c r="A80" s="315"/>
      <x:c r="B80" s="315"/>
      <x:c r="C80" s="315"/>
      <x:c r="D80" s="315"/>
      <x:c r="E80" s="315"/>
      <x:c r="F80" s="315"/>
      <x:c r="G80" s="315"/>
      <x:c r="H80" s="315"/>
      <x:c r="I80" s="315"/>
      <x:c r="J80" s="315"/>
      <x:c r="K80" s="315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24" hidden="0" customWidth="1"/>
  </x:cols>
  <x:sheetData>
    <x:row r="1" ht="28" hidden="0" customHeight="1">
      <x:c r="A1" s="867" t="str">
        <x:v>Income</x:v>
      </x:c>
      <x:c r="B1" s="867"/>
      <x:c r="C1" s="867"/>
      <x:c r="D1" s="867"/>
      <x:c r="E1" s="867"/>
      <x:c r="F1" s="867"/>
      <x:c r="G1" s="867"/>
      <x:c r="H1" s="315"/>
      <x:c r="I1" s="315"/>
      <x:c r="J1" s="315"/>
      <x:c r="K1" s="315"/>
    </x:row>
    <x:row r="2" ht="20" hidden="0" customHeight="1">
      <x:c r="A2" s="838" t="str">
        <x:v>Income plan and actual result</x:v>
      </x:c>
      <x:c r="B2" s="873"/>
      <x:c r="C2" s="873"/>
      <x:c r="D2" s="873"/>
      <x:c r="E2" s="873"/>
      <x:c r="F2" s="873"/>
      <x:c r="G2" s="873"/>
      <x:c r="H2" s="315"/>
      <x:c r="I2" s="315"/>
      <x:c r="J2" s="315"/>
      <x:c r="K2" s="315"/>
    </x:row>
    <x:row r="3" ht="15" hidden="0" customHeight="1">
      <x:c r="A3" s="315"/>
      <x:c r="B3" s="315"/>
      <x:c r="C3" s="315"/>
      <x:c r="D3" s="315"/>
      <x:c r="E3" s="315"/>
      <x:c r="F3" s="315"/>
      <x:c r="G3" s="315"/>
      <x:c r="H3" s="315"/>
      <x:c r="I3" s="315"/>
      <x:c r="J3" s="315"/>
      <x:c r="K3" s="315"/>
    </x:row>
    <x:row r="4" ht="22" hidden="0" customHeight="1">
      <x:c r="A4" s="850" t="str">
        <x:v>Date</x:v>
      </x:c>
      <x:c r="B4" s="850" t="str">
        <x:v>Income Source</x:v>
      </x:c>
      <x:c r="C4" s="850" t="str">
        <x:v>Category</x:v>
      </x:c>
      <x:c r="D4" s="850" t="str">
        <x:v>Planned Income</x:v>
      </x:c>
      <x:c r="E4" s="850" t="str">
        <x:v>Actual Income</x:v>
      </x:c>
      <x:c r="F4" s="850" t="str">
        <x:v>Difference</x:v>
      </x:c>
      <x:c r="G4" s="850" t="str">
        <x:v>Notes</x:v>
      </x:c>
      <x:c r="H4" s="315"/>
      <x:c r="I4" s="315"/>
      <x:c r="J4" s="315"/>
      <x:c r="K4" s="315"/>
    </x:row>
    <x:row r="5" ht="21" hidden="0" customHeight="1">
      <x:c r="A5" s="877" t="n">
        <x:v>46143</x:v>
      </x:c>
      <x:c r="B5" s="854" t="str">
        <x:v>Main salary</x:v>
      </x:c>
      <x:c r="C5" s="854" t="str">
        <x:v>Salary</x:v>
      </x:c>
      <x:c r="D5" s="852" t="n">
        <x:v>2200</x:v>
      </x:c>
      <x:c r="E5" s="852" t="n">
        <x:v>2200</x:v>
      </x:c>
      <x:c r="F5" s="852" t="n">
        <x:f>E5-D5</x:f>
        <x:v>0</x:v>
      </x:c>
      <x:c r="G5" s="854" t="str">
        <x:v>Primary monthly income</x:v>
      </x:c>
      <x:c r="H5" s="315"/>
      <x:c r="I5" s="315"/>
      <x:c r="J5" s="315"/>
      <x:c r="K5" s="315"/>
    </x:row>
    <x:row r="6" ht="21" hidden="0" customHeight="1">
      <x:c r="A6" s="877" t="n">
        <x:v>46147</x:v>
      </x:c>
      <x:c r="B6" s="854" t="str">
        <x:v>Freelance project</x:v>
      </x:c>
      <x:c r="C6" s="854" t="str">
        <x:v>Freelance</x:v>
      </x:c>
      <x:c r="D6" s="852" t="n">
        <x:v>350</x:v>
      </x:c>
      <x:c r="E6" s="852" t="n">
        <x:v>500</x:v>
      </x:c>
      <x:c r="F6" s="852" t="n">
        <x:f>E6-D6</x:f>
        <x:v>150</x:v>
      </x:c>
      <x:c r="G6" s="854" t="str">
        <x:v>Extra project income</x:v>
      </x:c>
      <x:c r="H6" s="315"/>
      <x:c r="I6" s="315"/>
      <x:c r="J6" s="315"/>
      <x:c r="K6" s="315"/>
    </x:row>
    <x:row r="7" ht="21" hidden="0" customHeight="1">
      <x:c r="A7" s="877" t="n">
        <x:v>46154</x:v>
      </x:c>
      <x:c r="B7" s="854" t="str">
        <x:v>Investment dividend</x:v>
      </x:c>
      <x:c r="C7" s="854" t="str">
        <x:v>Investment</x:v>
      </x:c>
      <x:c r="D7" s="852" t="n">
        <x:v>30</x:v>
      </x:c>
      <x:c r="E7" s="852" t="n">
        <x:v>30</x:v>
      </x:c>
      <x:c r="F7" s="852" t="n">
        <x:f>E7-D7</x:f>
        <x:v>0</x:v>
      </x:c>
      <x:c r="G7" s="854" t="str">
        <x:v>Small dividend</x:v>
      </x:c>
      <x:c r="H7" s="315"/>
      <x:c r="I7" s="315"/>
      <x:c r="J7" s="315"/>
      <x:c r="K7" s="315"/>
    </x:row>
    <x:row r="8" ht="21" hidden="0" customHeight="1">
      <x:c r="A8" s="877" t="n">
        <x:v>46160</x:v>
      </x:c>
      <x:c r="B8" s="854" t="str">
        <x:v>Side business</x:v>
      </x:c>
      <x:c r="C8" s="854" t="str">
        <x:v>Business</x:v>
      </x:c>
      <x:c r="D8" s="852" t="n">
        <x:v>200</x:v>
      </x:c>
      <x:c r="E8" s="852" t="n">
        <x:v>180</x:v>
      </x:c>
      <x:c r="F8" s="852" t="n">
        <x:f>E8-D8</x:f>
        <x:v>-20</x:v>
      </x:c>
      <x:c r="G8" s="854" t="str">
        <x:v>Product sale</x:v>
      </x:c>
      <x:c r="H8" s="315"/>
      <x:c r="I8" s="315"/>
      <x:c r="J8" s="315"/>
      <x:c r="K8" s="315"/>
    </x:row>
    <x:row r="9" ht="21" hidden="0" customHeight="1">
      <x:c r="A9" s="877" t="n">
        <x:v>46167</x:v>
      </x:c>
      <x:c r="B9" s="854" t="str">
        <x:v>Other</x:v>
      </x:c>
      <x:c r="C9" s="854" t="str">
        <x:v>Other</x:v>
      </x:c>
      <x:c r="D9" s="852" t="n">
        <x:v>50</x:v>
      </x:c>
      <x:c r="E9" s="852" t="n">
        <x:v>0</x:v>
      </x:c>
      <x:c r="F9" s="852" t="n">
        <x:f>E9-D9</x:f>
        <x:v>-50</x:v>
      </x:c>
      <x:c r="G9" s="854" t="str">
        <x:v>Optional income</x:v>
      </x:c>
      <x:c r="H9" s="315"/>
      <x:c r="I9" s="315"/>
      <x:c r="J9" s="315"/>
      <x:c r="K9" s="315"/>
    </x:row>
    <x:row r="10" ht="21" hidden="0" customHeight="1">
      <x:c r="A10" s="877"/>
      <x:c r="B10" s="854"/>
      <x:c r="C10" s="854"/>
      <x:c r="D10" s="852"/>
      <x:c r="E10" s="852"/>
      <x:c r="F10" s="852" t="n">
        <x:f>E10-D10</x:f>
        <x:v>0</x:v>
      </x:c>
      <x:c r="G10" s="854"/>
      <x:c r="H10" s="315"/>
      <x:c r="I10" s="315"/>
      <x:c r="J10" s="315"/>
      <x:c r="K10" s="315"/>
    </x:row>
    <x:row r="11" ht="21" hidden="0" customHeight="1">
      <x:c r="A11" s="877"/>
      <x:c r="B11" s="854"/>
      <x:c r="C11" s="854"/>
      <x:c r="D11" s="852"/>
      <x:c r="E11" s="852"/>
      <x:c r="F11" s="852" t="n">
        <x:f>E11-D11</x:f>
        <x:v>0</x:v>
      </x:c>
      <x:c r="G11" s="854"/>
      <x:c r="H11" s="315"/>
      <x:c r="I11" s="315"/>
      <x:c r="J11" s="315"/>
      <x:c r="K11" s="315"/>
    </x:row>
    <x:row r="12" ht="21" hidden="0" customHeight="1">
      <x:c r="A12" s="877"/>
      <x:c r="B12" s="854"/>
      <x:c r="C12" s="854"/>
      <x:c r="D12" s="852"/>
      <x:c r="E12" s="852"/>
      <x:c r="F12" s="852" t="n">
        <x:f>E12-D12</x:f>
        <x:v>0</x:v>
      </x:c>
      <x:c r="G12" s="854"/>
      <x:c r="H12" s="315"/>
      <x:c r="I12" s="315"/>
      <x:c r="J12" s="315"/>
      <x:c r="K12" s="315"/>
    </x:row>
    <x:row r="13" ht="21" hidden="0" customHeight="1">
      <x:c r="A13" s="877"/>
      <x:c r="B13" s="854"/>
      <x:c r="C13" s="854"/>
      <x:c r="D13" s="852"/>
      <x:c r="E13" s="852"/>
      <x:c r="F13" s="852" t="n">
        <x:f>E13-D13</x:f>
        <x:v>0</x:v>
      </x:c>
      <x:c r="G13" s="854"/>
      <x:c r="H13" s="315"/>
      <x:c r="I13" s="315"/>
      <x:c r="J13" s="315"/>
      <x:c r="K13" s="315"/>
    </x:row>
    <x:row r="14" ht="21" hidden="0" customHeight="1">
      <x:c r="A14" s="878"/>
      <x:c r="B14" s="875"/>
      <x:c r="C14" s="875"/>
      <x:c r="D14" s="876"/>
      <x:c r="E14" s="876"/>
      <x:c r="F14" s="856" t="n">
        <x:f>E14-D14</x:f>
        <x:v>0</x:v>
      </x:c>
      <x:c r="G14" s="875"/>
      <x:c r="H14" s="315"/>
      <x:c r="I14" s="315"/>
      <x:c r="J14" s="315"/>
      <x:c r="K14" s="315"/>
    </x:row>
    <x:row r="15" ht="21" hidden="0" customHeight="1">
      <x:c r="A15" s="891"/>
      <x:c r="B15" s="891"/>
      <x:c r="C15" s="891"/>
      <x:c r="D15" s="852"/>
      <x:c r="E15" s="852"/>
      <x:c r="F15" s="852"/>
      <x:c r="G15" s="891"/>
      <x:c r="H15" s="315"/>
      <x:c r="I15" s="315"/>
      <x:c r="J15" s="315"/>
      <x:c r="K15" s="315"/>
    </x:row>
    <x:row r="16" ht="21" hidden="0" customHeight="1">
      <x:c r="A16" s="892" t="str">
        <x:v>Income Summary</x:v>
      </x:c>
      <x:c r="B16" s="892"/>
      <x:c r="C16" s="892"/>
      <x:c r="D16" s="893"/>
      <x:c r="E16" s="893"/>
      <x:c r="F16" s="893"/>
      <x:c r="G16" s="874"/>
      <x:c r="H16" s="315"/>
      <x:c r="I16" s="315"/>
      <x:c r="J16" s="315"/>
      <x:c r="K16" s="315"/>
    </x:row>
    <x:row r="17" ht="21" hidden="0" customHeight="1">
      <x:c r="A17" s="874" t="str">
        <x:v>Total planned income</x:v>
      </x:c>
      <x:c r="B17" s="893" t="n">
        <x:f>SUM(D5:D14)</x:f>
        <x:v>2830</x:v>
      </x:c>
      <x:c r="C17" s="891"/>
      <x:c r="D17" s="852"/>
      <x:c r="E17" s="852"/>
      <x:c r="F17" s="852"/>
      <x:c r="G17" s="891"/>
      <x:c r="H17" s="315"/>
      <x:c r="I17" s="315"/>
      <x:c r="J17" s="315"/>
      <x:c r="K17" s="315"/>
    </x:row>
    <x:row r="18" ht="21" hidden="0" customHeight="1">
      <x:c r="A18" s="874" t="str">
        <x:v>Total actual income</x:v>
      </x:c>
      <x:c r="B18" s="893" t="n">
        <x:f>SUM(E5:E14)</x:f>
        <x:v>2910</x:v>
      </x:c>
      <x:c r="C18" s="891"/>
      <x:c r="D18" s="852"/>
      <x:c r="E18" s="852"/>
      <x:c r="F18" s="852"/>
      <x:c r="G18" s="891"/>
      <x:c r="H18" s="315"/>
      <x:c r="I18" s="315"/>
      <x:c r="J18" s="315"/>
      <x:c r="K18" s="315"/>
    </x:row>
    <x:row r="19" ht="21" hidden="0" customHeight="1">
      <x:c r="A19" s="874" t="str">
        <x:v>Income variance</x:v>
      </x:c>
      <x:c r="B19" s="893" t="n">
        <x:f>B18-B17</x:f>
        <x:v>80</x:v>
      </x:c>
      <x:c r="C19" s="891"/>
      <x:c r="D19" s="852"/>
      <x:c r="E19" s="852"/>
      <x:c r="F19" s="852"/>
      <x:c r="G19" s="891"/>
      <x:c r="H19" s="315"/>
      <x:c r="I19" s="315"/>
      <x:c r="J19" s="315"/>
      <x:c r="K19" s="315"/>
    </x:row>
    <x:row r="20" ht="21" hidden="0" customHeight="1">
      <x:c r="A20" s="874" t="str">
        <x:v>Income variance %</x:v>
      </x:c>
      <x:c r="B20" s="894" t="n">
        <x:f>IFERROR(B19/B17,0)</x:f>
        <x:v>0.028268551236749116</x:v>
      </x:c>
      <x:c r="C20" s="891"/>
      <x:c r="D20" s="852"/>
      <x:c r="E20" s="852"/>
      <x:c r="F20" s="852"/>
      <x:c r="G20" s="891"/>
      <x:c r="H20" s="315"/>
      <x:c r="I20" s="315"/>
      <x:c r="J20" s="315"/>
      <x:c r="K20" s="315"/>
    </x:row>
    <x:row r="21" ht="15" hidden="0" customHeight="1">
      <x:c r="A21" s="315"/>
      <x:c r="B21" s="315"/>
      <x:c r="C21" s="315"/>
      <x:c r="D21" s="315"/>
      <x:c r="E21" s="315"/>
      <x:c r="F21" s="315"/>
      <x:c r="G21" s="315"/>
      <x:c r="H21" s="315"/>
      <x:c r="I21" s="315"/>
      <x:c r="J21" s="315"/>
      <x:c r="K21" s="315"/>
    </x:row>
    <x:row r="22" ht="15" hidden="0" customHeight="1">
      <x:c r="A22" s="315"/>
      <x:c r="B22" s="315"/>
      <x:c r="C22" s="315"/>
      <x:c r="D22" s="315"/>
      <x:c r="E22" s="315"/>
      <x:c r="F22" s="315"/>
      <x:c r="G22" s="315"/>
      <x:c r="H22" s="315"/>
      <x:c r="I22" s="315"/>
      <x:c r="J22" s="315"/>
      <x:c r="K22" s="315"/>
    </x:row>
    <x:row r="23" ht="15" hidden="0" customHeight="1">
      <x:c r="A23" s="315"/>
      <x:c r="B23" s="315"/>
      <x:c r="C23" s="315"/>
      <x:c r="D23" s="315"/>
      <x:c r="E23" s="315"/>
      <x:c r="F23" s="315"/>
      <x:c r="G23" s="315"/>
      <x:c r="H23" s="315"/>
      <x:c r="I23" s="315"/>
      <x:c r="J23" s="315"/>
      <x:c r="K23" s="315"/>
    </x:row>
    <x:row r="24" ht="15" hidden="0" customHeight="1">
      <x:c r="A24" s="315"/>
      <x:c r="B24" s="315"/>
      <x:c r="C24" s="315"/>
      <x:c r="D24" s="315"/>
      <x:c r="E24" s="315"/>
      <x:c r="F24" s="315"/>
      <x:c r="G24" s="315"/>
      <x:c r="H24" s="315"/>
      <x:c r="I24" s="315"/>
      <x:c r="J24" s="315"/>
      <x:c r="K24" s="315"/>
    </x:row>
    <x:row r="25" ht="15" hidden="0" customHeight="1">
      <x:c r="A25" s="315"/>
      <x:c r="B25" s="315"/>
      <x:c r="C25" s="315"/>
      <x:c r="D25" s="315"/>
      <x:c r="E25" s="315"/>
      <x:c r="F25" s="315"/>
      <x:c r="G25" s="315"/>
      <x:c r="H25" s="315"/>
      <x:c r="I25" s="315"/>
      <x:c r="J25" s="315"/>
      <x:c r="K25" s="315"/>
    </x:row>
    <x:row r="26" ht="15" hidden="0" customHeight="1">
      <x:c r="A26" s="315"/>
      <x:c r="B26" s="315"/>
      <x:c r="C26" s="315"/>
      <x:c r="D26" s="315"/>
      <x:c r="E26" s="315"/>
      <x:c r="F26" s="315"/>
      <x:c r="G26" s="315"/>
      <x:c r="H26" s="315"/>
      <x:c r="I26" s="315"/>
      <x:c r="J26" s="315"/>
      <x:c r="K26" s="315"/>
    </x:row>
    <x:row r="27" ht="15" hidden="0" customHeight="1">
      <x:c r="A27" s="315"/>
      <x:c r="B27" s="315"/>
      <x:c r="C27" s="315"/>
      <x:c r="D27" s="315"/>
      <x:c r="E27" s="315"/>
      <x:c r="F27" s="315"/>
      <x:c r="G27" s="315"/>
      <x:c r="H27" s="315"/>
      <x:c r="I27" s="315"/>
      <x:c r="J27" s="315"/>
      <x:c r="K27" s="315"/>
    </x:row>
    <x:row r="28" ht="15" hidden="0" customHeight="1">
      <x:c r="A28" s="315"/>
      <x:c r="B28" s="315"/>
      <x:c r="C28" s="315"/>
      <x:c r="D28" s="315"/>
      <x:c r="E28" s="315"/>
      <x:c r="F28" s="315"/>
      <x:c r="G28" s="315"/>
      <x:c r="H28" s="315"/>
      <x:c r="I28" s="315"/>
      <x:c r="J28" s="315"/>
      <x:c r="K28" s="315"/>
    </x:row>
    <x:row r="29" ht="15" hidden="0" customHeight="1">
      <x:c r="A29" s="315"/>
      <x:c r="B29" s="315"/>
      <x:c r="C29" s="315"/>
      <x:c r="D29" s="315"/>
      <x:c r="E29" s="315"/>
      <x:c r="F29" s="315"/>
      <x:c r="G29" s="315"/>
      <x:c r="H29" s="315"/>
      <x:c r="I29" s="315"/>
      <x:c r="J29" s="315"/>
      <x:c r="K29" s="315"/>
    </x:row>
    <x:row r="30" ht="15" hidden="0" customHeight="1">
      <x:c r="A30" s="315"/>
      <x:c r="B30" s="315"/>
      <x:c r="C30" s="315"/>
      <x:c r="D30" s="315"/>
      <x:c r="E30" s="315"/>
      <x:c r="F30" s="315"/>
      <x:c r="G30" s="315"/>
      <x:c r="H30" s="315"/>
      <x:c r="I30" s="315"/>
      <x:c r="J30" s="315"/>
      <x:c r="K30" s="315"/>
    </x:row>
    <x:row r="31" ht="15" hidden="0" customHeight="1">
      <x:c r="A31" s="315"/>
      <x:c r="B31" s="315"/>
      <x:c r="C31" s="315"/>
      <x:c r="D31" s="315"/>
      <x:c r="E31" s="315"/>
      <x:c r="F31" s="315"/>
      <x:c r="G31" s="315"/>
      <x:c r="H31" s="315"/>
      <x:c r="I31" s="315"/>
      <x:c r="J31" s="315"/>
      <x:c r="K31" s="315"/>
    </x:row>
    <x:row r="32" ht="15" hidden="0" customHeight="1">
      <x:c r="A32" s="315"/>
      <x:c r="B32" s="315"/>
      <x:c r="C32" s="315"/>
      <x:c r="D32" s="315"/>
      <x:c r="E32" s="315"/>
      <x:c r="F32" s="315"/>
      <x:c r="G32" s="315"/>
      <x:c r="H32" s="315"/>
      <x:c r="I32" s="315"/>
      <x:c r="J32" s="315"/>
      <x:c r="K32" s="315"/>
    </x:row>
    <x:row r="33" ht="15" hidden="0" customHeight="1">
      <x:c r="A33" s="315"/>
      <x:c r="B33" s="315"/>
      <x:c r="C33" s="315"/>
      <x:c r="D33" s="315"/>
      <x:c r="E33" s="315"/>
      <x:c r="F33" s="315"/>
      <x:c r="G33" s="315"/>
      <x:c r="H33" s="315"/>
      <x:c r="I33" s="315"/>
      <x:c r="J33" s="315"/>
      <x:c r="K33" s="315"/>
    </x:row>
    <x:row r="34" ht="15" hidden="0" customHeight="1">
      <x:c r="A34" s="315"/>
      <x:c r="B34" s="315"/>
      <x:c r="C34" s="315"/>
      <x:c r="D34" s="315"/>
      <x:c r="E34" s="315"/>
      <x:c r="F34" s="315"/>
      <x:c r="G34" s="315"/>
      <x:c r="H34" s="315"/>
      <x:c r="I34" s="315"/>
      <x:c r="J34" s="315"/>
      <x:c r="K34" s="315"/>
    </x:row>
    <x:row r="35" ht="15" hidden="0" customHeight="1">
      <x:c r="A35" s="315"/>
      <x:c r="B35" s="315"/>
      <x:c r="C35" s="315"/>
      <x:c r="D35" s="315"/>
      <x:c r="E35" s="315"/>
      <x:c r="F35" s="315"/>
      <x:c r="G35" s="315"/>
      <x:c r="H35" s="315"/>
      <x:c r="I35" s="315"/>
      <x:c r="J35" s="315"/>
      <x:c r="K35" s="315"/>
    </x:row>
    <x:row r="36" ht="15" hidden="0" customHeight="1">
      <x:c r="A36" s="315"/>
      <x:c r="B36" s="315"/>
      <x:c r="C36" s="315"/>
      <x:c r="D36" s="315"/>
      <x:c r="E36" s="315"/>
      <x:c r="F36" s="315"/>
      <x:c r="G36" s="315"/>
      <x:c r="H36" s="315"/>
      <x:c r="I36" s="315"/>
      <x:c r="J36" s="315"/>
      <x:c r="K36" s="315"/>
    </x:row>
    <x:row r="37" ht="15" hidden="0" customHeight="1">
      <x:c r="A37" s="315"/>
      <x:c r="B37" s="315"/>
      <x:c r="C37" s="315"/>
      <x:c r="D37" s="315"/>
      <x:c r="E37" s="315"/>
      <x:c r="F37" s="315"/>
      <x:c r="G37" s="315"/>
      <x:c r="H37" s="315"/>
      <x:c r="I37" s="315"/>
      <x:c r="J37" s="315"/>
      <x:c r="K37" s="315"/>
    </x:row>
    <x:row r="38" ht="15" hidden="0" customHeight="1">
      <x:c r="A38" s="315"/>
      <x:c r="B38" s="315"/>
      <x:c r="C38" s="315"/>
      <x:c r="D38" s="315"/>
      <x:c r="E38" s="315"/>
      <x:c r="F38" s="315"/>
      <x:c r="G38" s="315"/>
      <x:c r="H38" s="315"/>
      <x:c r="I38" s="315"/>
      <x:c r="J38" s="315"/>
      <x:c r="K38" s="315"/>
    </x:row>
    <x:row r="39" ht="15" hidden="0" customHeight="1">
      <x:c r="A39" s="315"/>
      <x:c r="B39" s="315"/>
      <x:c r="C39" s="315"/>
      <x:c r="D39" s="315"/>
      <x:c r="E39" s="315"/>
      <x:c r="F39" s="315"/>
      <x:c r="G39" s="315"/>
      <x:c r="H39" s="315"/>
      <x:c r="I39" s="315"/>
      <x:c r="J39" s="315"/>
      <x:c r="K39" s="315"/>
    </x:row>
    <x:row r="40" ht="15" hidden="0" customHeight="1">
      <x:c r="A40" s="315"/>
      <x:c r="B40" s="315"/>
      <x:c r="C40" s="315"/>
      <x:c r="D40" s="315"/>
      <x:c r="E40" s="315"/>
      <x:c r="F40" s="315"/>
      <x:c r="G40" s="315"/>
      <x:c r="H40" s="315"/>
      <x:c r="I40" s="315"/>
      <x:c r="J40" s="315"/>
      <x:c r="K40" s="315"/>
    </x:row>
    <x:row r="41" ht="15" hidden="0" customHeight="1">
      <x:c r="A41" s="315"/>
      <x:c r="B41" s="315"/>
      <x:c r="C41" s="315"/>
      <x:c r="D41" s="315"/>
      <x:c r="E41" s="315"/>
      <x:c r="F41" s="315"/>
      <x:c r="G41" s="315"/>
      <x:c r="H41" s="315"/>
      <x:c r="I41" s="315"/>
      <x:c r="J41" s="315"/>
      <x:c r="K41" s="315"/>
    </x:row>
    <x:row r="42" ht="15" hidden="0" customHeight="1">
      <x:c r="A42" s="315"/>
      <x:c r="B42" s="315"/>
      <x:c r="C42" s="315"/>
      <x:c r="D42" s="315"/>
      <x:c r="E42" s="315"/>
      <x:c r="F42" s="315"/>
      <x:c r="G42" s="315"/>
      <x:c r="H42" s="315"/>
      <x:c r="I42" s="315"/>
      <x:c r="J42" s="315"/>
      <x:c r="K42" s="315"/>
    </x:row>
    <x:row r="43" ht="15" hidden="0" customHeight="1">
      <x:c r="A43" s="315"/>
      <x:c r="B43" s="315"/>
      <x:c r="C43" s="315"/>
      <x:c r="D43" s="315"/>
      <x:c r="E43" s="315"/>
      <x:c r="F43" s="315"/>
      <x:c r="G43" s="315"/>
      <x:c r="H43" s="315"/>
      <x:c r="I43" s="315"/>
      <x:c r="J43" s="315"/>
      <x:c r="K43" s="315"/>
    </x:row>
    <x:row r="44" ht="15" hidden="0" customHeight="1">
      <x:c r="A44" s="315"/>
      <x:c r="B44" s="315"/>
      <x:c r="C44" s="315"/>
      <x:c r="D44" s="315"/>
      <x:c r="E44" s="315"/>
      <x:c r="F44" s="315"/>
      <x:c r="G44" s="315"/>
      <x:c r="H44" s="315"/>
      <x:c r="I44" s="315"/>
      <x:c r="J44" s="315"/>
      <x:c r="K44" s="315"/>
    </x:row>
    <x:row r="45" ht="15" hidden="0" customHeight="1">
      <x:c r="A45" s="315"/>
      <x:c r="B45" s="315"/>
      <x:c r="C45" s="315"/>
      <x:c r="D45" s="315"/>
      <x:c r="E45" s="315"/>
      <x:c r="F45" s="315"/>
      <x:c r="G45" s="315"/>
      <x:c r="H45" s="315"/>
      <x:c r="I45" s="315"/>
      <x:c r="J45" s="315"/>
      <x:c r="K45" s="315"/>
    </x:row>
    <x:row r="46" ht="15" hidden="0" customHeight="1">
      <x:c r="A46" s="315"/>
      <x:c r="B46" s="315"/>
      <x:c r="C46" s="315"/>
      <x:c r="D46" s="315"/>
      <x:c r="E46" s="315"/>
      <x:c r="F46" s="315"/>
      <x:c r="G46" s="315"/>
      <x:c r="H46" s="315"/>
      <x:c r="I46" s="315"/>
      <x:c r="J46" s="315"/>
      <x:c r="K46" s="315"/>
    </x:row>
    <x:row r="47" ht="15" hidden="0" customHeight="1">
      <x:c r="A47" s="315"/>
      <x:c r="B47" s="315"/>
      <x:c r="C47" s="315"/>
      <x:c r="D47" s="315"/>
      <x:c r="E47" s="315"/>
      <x:c r="F47" s="315"/>
      <x:c r="G47" s="315"/>
      <x:c r="H47" s="315"/>
      <x:c r="I47" s="315"/>
      <x:c r="J47" s="315"/>
      <x:c r="K47" s="315"/>
    </x:row>
    <x:row r="48" ht="15" hidden="0" customHeight="1">
      <x:c r="A48" s="315"/>
      <x:c r="B48" s="315"/>
      <x:c r="C48" s="315"/>
      <x:c r="D48" s="315"/>
      <x:c r="E48" s="315"/>
      <x:c r="F48" s="315"/>
      <x:c r="G48" s="315"/>
      <x:c r="H48" s="315"/>
      <x:c r="I48" s="315"/>
      <x:c r="J48" s="315"/>
      <x:c r="K48" s="315"/>
    </x:row>
    <x:row r="49" ht="15" hidden="0" customHeight="1">
      <x:c r="A49" s="315"/>
      <x:c r="B49" s="315"/>
      <x:c r="C49" s="315"/>
      <x:c r="D49" s="315"/>
      <x:c r="E49" s="315"/>
      <x:c r="F49" s="315"/>
      <x:c r="G49" s="315"/>
      <x:c r="H49" s="315"/>
      <x:c r="I49" s="315"/>
      <x:c r="J49" s="315"/>
      <x:c r="K49" s="315"/>
    </x:row>
    <x:row r="50" ht="15" hidden="0" customHeight="1">
      <x:c r="A50" s="315"/>
      <x:c r="B50" s="315"/>
      <x:c r="C50" s="315"/>
      <x:c r="D50" s="315"/>
      <x:c r="E50" s="315"/>
      <x:c r="F50" s="315"/>
      <x:c r="G50" s="315"/>
      <x:c r="H50" s="315"/>
      <x:c r="I50" s="315"/>
      <x:c r="J50" s="315"/>
      <x:c r="K50" s="315"/>
    </x:row>
    <x:row r="51" ht="15" hidden="0" customHeight="1">
      <x:c r="A51" s="315"/>
      <x:c r="B51" s="315"/>
      <x:c r="C51" s="315"/>
      <x:c r="D51" s="315"/>
      <x:c r="E51" s="315"/>
      <x:c r="F51" s="315"/>
      <x:c r="G51" s="315"/>
      <x:c r="H51" s="315"/>
      <x:c r="I51" s="315"/>
      <x:c r="J51" s="315"/>
      <x:c r="K51" s="315"/>
    </x:row>
    <x:row r="52" ht="15" hidden="0" customHeight="1">
      <x:c r="A52" s="315"/>
      <x:c r="B52" s="315"/>
      <x:c r="C52" s="315"/>
      <x:c r="D52" s="315"/>
      <x:c r="E52" s="315"/>
      <x:c r="F52" s="315"/>
      <x:c r="G52" s="315"/>
      <x:c r="H52" s="315"/>
      <x:c r="I52" s="315"/>
      <x:c r="J52" s="315"/>
      <x:c r="K52" s="315"/>
    </x:row>
    <x:row r="53" ht="15" hidden="0" customHeight="1">
      <x:c r="A53" s="315"/>
      <x:c r="B53" s="315"/>
      <x:c r="C53" s="315"/>
      <x:c r="D53" s="315"/>
      <x:c r="E53" s="315"/>
      <x:c r="F53" s="315"/>
      <x:c r="G53" s="315"/>
      <x:c r="H53" s="315"/>
      <x:c r="I53" s="315"/>
      <x:c r="J53" s="315"/>
      <x:c r="K53" s="315"/>
    </x:row>
    <x:row r="54" ht="15" hidden="0" customHeight="1">
      <x:c r="A54" s="315"/>
      <x:c r="B54" s="315"/>
      <x:c r="C54" s="315"/>
      <x:c r="D54" s="315"/>
      <x:c r="E54" s="315"/>
      <x:c r="F54" s="315"/>
      <x:c r="G54" s="315"/>
      <x:c r="H54" s="315"/>
      <x:c r="I54" s="315"/>
      <x:c r="J54" s="315"/>
      <x:c r="K54" s="315"/>
    </x:row>
    <x:row r="55" ht="15" hidden="0" customHeight="1">
      <x:c r="A55" s="315"/>
      <x:c r="B55" s="315"/>
      <x:c r="C55" s="315"/>
      <x:c r="D55" s="315"/>
      <x:c r="E55" s="315"/>
      <x:c r="F55" s="315"/>
      <x:c r="G55" s="315"/>
      <x:c r="H55" s="315"/>
      <x:c r="I55" s="315"/>
      <x:c r="J55" s="315"/>
      <x:c r="K55" s="315"/>
    </x:row>
    <x:row r="56" ht="15" hidden="0" customHeight="1">
      <x:c r="A56" s="315"/>
      <x:c r="B56" s="315"/>
      <x:c r="C56" s="315"/>
      <x:c r="D56" s="315"/>
      <x:c r="E56" s="315"/>
      <x:c r="F56" s="315"/>
      <x:c r="G56" s="315"/>
      <x:c r="H56" s="315"/>
      <x:c r="I56" s="315"/>
      <x:c r="J56" s="315"/>
      <x:c r="K56" s="315"/>
    </x:row>
    <x:row r="57" ht="15" hidden="0" customHeight="1">
      <x:c r="A57" s="315"/>
      <x:c r="B57" s="315"/>
      <x:c r="C57" s="315"/>
      <x:c r="D57" s="315"/>
      <x:c r="E57" s="315"/>
      <x:c r="F57" s="315"/>
      <x:c r="G57" s="315"/>
      <x:c r="H57" s="315"/>
      <x:c r="I57" s="315"/>
      <x:c r="J57" s="315"/>
      <x:c r="K57" s="315"/>
    </x:row>
    <x:row r="58" ht="15" hidden="0" customHeight="1">
      <x:c r="A58" s="315"/>
      <x:c r="B58" s="315"/>
      <x:c r="C58" s="315"/>
      <x:c r="D58" s="315"/>
      <x:c r="E58" s="315"/>
      <x:c r="F58" s="315"/>
      <x:c r="G58" s="315"/>
      <x:c r="H58" s="315"/>
      <x:c r="I58" s="315"/>
      <x:c r="J58" s="315"/>
      <x:c r="K58" s="315"/>
    </x:row>
    <x:row r="59" ht="15" hidden="0" customHeight="1">
      <x:c r="A59" s="315"/>
      <x:c r="B59" s="315"/>
      <x:c r="C59" s="315"/>
      <x:c r="D59" s="315"/>
      <x:c r="E59" s="315"/>
      <x:c r="F59" s="315"/>
      <x:c r="G59" s="315"/>
      <x:c r="H59" s="315"/>
      <x:c r="I59" s="315"/>
      <x:c r="J59" s="315"/>
      <x:c r="K59" s="315"/>
    </x:row>
    <x:row r="60" ht="15" hidden="0" customHeight="1">
      <x:c r="A60" s="315"/>
      <x:c r="B60" s="315"/>
      <x:c r="C60" s="315"/>
      <x:c r="D60" s="315"/>
      <x:c r="E60" s="315"/>
      <x:c r="F60" s="315"/>
      <x:c r="G60" s="315"/>
      <x:c r="H60" s="315"/>
      <x:c r="I60" s="315"/>
      <x:c r="J60" s="315"/>
      <x:c r="K60" s="315"/>
    </x:row>
    <x:row r="61" ht="15" hidden="0" customHeight="1">
      <x:c r="A61" s="315"/>
      <x:c r="B61" s="315"/>
      <x:c r="C61" s="315"/>
      <x:c r="D61" s="315"/>
      <x:c r="E61" s="315"/>
      <x:c r="F61" s="315"/>
      <x:c r="G61" s="315"/>
      <x:c r="H61" s="315"/>
      <x:c r="I61" s="315"/>
      <x:c r="J61" s="315"/>
      <x:c r="K61" s="315"/>
    </x:row>
    <x:row r="62" ht="15" hidden="0" customHeight="1">
      <x:c r="A62" s="315"/>
      <x:c r="B62" s="315"/>
      <x:c r="C62" s="315"/>
      <x:c r="D62" s="315"/>
      <x:c r="E62" s="315"/>
      <x:c r="F62" s="315"/>
      <x:c r="G62" s="315"/>
      <x:c r="H62" s="315"/>
      <x:c r="I62" s="315"/>
      <x:c r="J62" s="315"/>
      <x:c r="K62" s="315"/>
    </x:row>
    <x:row r="63" ht="15" hidden="0" customHeight="1">
      <x:c r="A63" s="315"/>
      <x:c r="B63" s="315"/>
      <x:c r="C63" s="315"/>
      <x:c r="D63" s="315"/>
      <x:c r="E63" s="315"/>
      <x:c r="F63" s="315"/>
      <x:c r="G63" s="315"/>
      <x:c r="H63" s="315"/>
      <x:c r="I63" s="315"/>
      <x:c r="J63" s="315"/>
      <x:c r="K63" s="315"/>
    </x:row>
    <x:row r="64" ht="15" hidden="0" customHeight="1">
      <x:c r="A64" s="315"/>
      <x:c r="B64" s="315"/>
      <x:c r="C64" s="315"/>
      <x:c r="D64" s="315"/>
      <x:c r="E64" s="315"/>
      <x:c r="F64" s="315"/>
      <x:c r="G64" s="315"/>
      <x:c r="H64" s="315"/>
      <x:c r="I64" s="315"/>
      <x:c r="J64" s="315"/>
      <x:c r="K64" s="315"/>
    </x:row>
    <x:row r="65" ht="15" hidden="0" customHeight="1">
      <x:c r="A65" s="315"/>
      <x:c r="B65" s="315"/>
      <x:c r="C65" s="315"/>
      <x:c r="D65" s="315"/>
      <x:c r="E65" s="315"/>
      <x:c r="F65" s="315"/>
      <x:c r="G65" s="315"/>
      <x:c r="H65" s="315"/>
      <x:c r="I65" s="315"/>
      <x:c r="J65" s="315"/>
      <x:c r="K65" s="315"/>
    </x:row>
    <x:row r="66" ht="15" hidden="0" customHeight="1">
      <x:c r="A66" s="315"/>
      <x:c r="B66" s="315"/>
      <x:c r="C66" s="315"/>
      <x:c r="D66" s="315"/>
      <x:c r="E66" s="315"/>
      <x:c r="F66" s="315"/>
      <x:c r="G66" s="315"/>
      <x:c r="H66" s="315"/>
      <x:c r="I66" s="315"/>
      <x:c r="J66" s="315"/>
      <x:c r="K66" s="315"/>
    </x:row>
    <x:row r="67" ht="15" hidden="0" customHeight="1">
      <x:c r="A67" s="315"/>
      <x:c r="B67" s="315"/>
      <x:c r="C67" s="315"/>
      <x:c r="D67" s="315"/>
      <x:c r="E67" s="315"/>
      <x:c r="F67" s="315"/>
      <x:c r="G67" s="315"/>
      <x:c r="H67" s="315"/>
      <x:c r="I67" s="315"/>
      <x:c r="J67" s="315"/>
      <x:c r="K67" s="315"/>
    </x:row>
    <x:row r="68" ht="15" hidden="0" customHeight="1">
      <x:c r="A68" s="315"/>
      <x:c r="B68" s="315"/>
      <x:c r="C68" s="315"/>
      <x:c r="D68" s="315"/>
      <x:c r="E68" s="315"/>
      <x:c r="F68" s="315"/>
      <x:c r="G68" s="315"/>
      <x:c r="H68" s="315"/>
      <x:c r="I68" s="315"/>
      <x:c r="J68" s="315"/>
      <x:c r="K68" s="315"/>
    </x:row>
    <x:row r="69" ht="15" hidden="0" customHeight="1">
      <x:c r="A69" s="315"/>
      <x:c r="B69" s="315"/>
      <x:c r="C69" s="315"/>
      <x:c r="D69" s="315"/>
      <x:c r="E69" s="315"/>
      <x:c r="F69" s="315"/>
      <x:c r="G69" s="315"/>
      <x:c r="H69" s="315"/>
      <x:c r="I69" s="315"/>
      <x:c r="J69" s="315"/>
      <x:c r="K69" s="315"/>
    </x:row>
    <x:row r="70" ht="15" hidden="0" customHeight="1">
      <x:c r="A70" s="315"/>
      <x:c r="B70" s="315"/>
      <x:c r="C70" s="315"/>
      <x:c r="D70" s="315"/>
      <x:c r="E70" s="315"/>
      <x:c r="F70" s="315"/>
      <x:c r="G70" s="315"/>
      <x:c r="H70" s="315"/>
      <x:c r="I70" s="315"/>
      <x:c r="J70" s="315"/>
      <x:c r="K70" s="315"/>
    </x:row>
    <x:row r="71" ht="15" hidden="0" customHeight="1">
      <x:c r="A71" s="315"/>
      <x:c r="B71" s="315"/>
      <x:c r="C71" s="315"/>
      <x:c r="D71" s="315"/>
      <x:c r="E71" s="315"/>
      <x:c r="F71" s="315"/>
      <x:c r="G71" s="315"/>
      <x:c r="H71" s="315"/>
      <x:c r="I71" s="315"/>
      <x:c r="J71" s="315"/>
      <x:c r="K71" s="315"/>
    </x:row>
    <x:row r="72" ht="15" hidden="0" customHeight="1">
      <x:c r="A72" s="315"/>
      <x:c r="B72" s="315"/>
      <x:c r="C72" s="315"/>
      <x:c r="D72" s="315"/>
      <x:c r="E72" s="315"/>
      <x:c r="F72" s="315"/>
      <x:c r="G72" s="315"/>
      <x:c r="H72" s="315"/>
      <x:c r="I72" s="315"/>
      <x:c r="J72" s="315"/>
      <x:c r="K72" s="315"/>
    </x:row>
    <x:row r="73" ht="15" hidden="0" customHeight="1">
      <x:c r="A73" s="315"/>
      <x:c r="B73" s="315"/>
      <x:c r="C73" s="315"/>
      <x:c r="D73" s="315"/>
      <x:c r="E73" s="315"/>
      <x:c r="F73" s="315"/>
      <x:c r="G73" s="315"/>
      <x:c r="H73" s="315"/>
      <x:c r="I73" s="315"/>
      <x:c r="J73" s="315"/>
      <x:c r="K73" s="315"/>
    </x:row>
    <x:row r="74" ht="15" hidden="0" customHeight="1">
      <x:c r="A74" s="315"/>
      <x:c r="B74" s="315"/>
      <x:c r="C74" s="315"/>
      <x:c r="D74" s="315"/>
      <x:c r="E74" s="315"/>
      <x:c r="F74" s="315"/>
      <x:c r="G74" s="315"/>
      <x:c r="H74" s="315"/>
      <x:c r="I74" s="315"/>
      <x:c r="J74" s="315"/>
      <x:c r="K74" s="315"/>
    </x:row>
    <x:row r="75" ht="15" hidden="0" customHeight="1">
      <x:c r="A75" s="315"/>
      <x:c r="B75" s="315"/>
      <x:c r="C75" s="315"/>
      <x:c r="D75" s="315"/>
      <x:c r="E75" s="315"/>
      <x:c r="F75" s="315"/>
      <x:c r="G75" s="315"/>
      <x:c r="H75" s="315"/>
      <x:c r="I75" s="315"/>
      <x:c r="J75" s="315"/>
      <x:c r="K75" s="315"/>
    </x:row>
    <x:row r="76" ht="15" hidden="0" customHeight="1">
      <x:c r="A76" s="315"/>
      <x:c r="B76" s="315"/>
      <x:c r="C76" s="315"/>
      <x:c r="D76" s="315"/>
      <x:c r="E76" s="315"/>
      <x:c r="F76" s="315"/>
      <x:c r="G76" s="315"/>
      <x:c r="H76" s="315"/>
      <x:c r="I76" s="315"/>
      <x:c r="J76" s="315"/>
      <x:c r="K76" s="315"/>
    </x:row>
    <x:row r="77" ht="15" hidden="0" customHeight="1">
      <x:c r="A77" s="315"/>
      <x:c r="B77" s="315"/>
      <x:c r="C77" s="315"/>
      <x:c r="D77" s="315"/>
      <x:c r="E77" s="315"/>
      <x:c r="F77" s="315"/>
      <x:c r="G77" s="315"/>
      <x:c r="H77" s="315"/>
      <x:c r="I77" s="315"/>
      <x:c r="J77" s="315"/>
      <x:c r="K77" s="315"/>
    </x:row>
    <x:row r="78" ht="15" hidden="0" customHeight="1">
      <x:c r="A78" s="315"/>
      <x:c r="B78" s="315"/>
      <x:c r="C78" s="315"/>
      <x:c r="D78" s="315"/>
      <x:c r="E78" s="315"/>
      <x:c r="F78" s="315"/>
      <x:c r="G78" s="315"/>
      <x:c r="H78" s="315"/>
      <x:c r="I78" s="315"/>
      <x:c r="J78" s="315"/>
      <x:c r="K78" s="315"/>
    </x:row>
    <x:row r="79" ht="15" hidden="0" customHeight="1">
      <x:c r="A79" s="315"/>
      <x:c r="B79" s="315"/>
      <x:c r="C79" s="315"/>
      <x:c r="D79" s="315"/>
      <x:c r="E79" s="315"/>
      <x:c r="F79" s="315"/>
      <x:c r="G79" s="315"/>
      <x:c r="H79" s="315"/>
      <x:c r="I79" s="315"/>
      <x:c r="J79" s="315"/>
      <x:c r="K79" s="315"/>
    </x:row>
    <x:row r="80" ht="15" hidden="0" customHeight="1">
      <x:c r="A80" s="315"/>
      <x:c r="B80" s="315"/>
      <x:c r="C80" s="315"/>
      <x:c r="D80" s="315"/>
      <x:c r="E80" s="315"/>
      <x:c r="F80" s="315"/>
      <x:c r="G80" s="315"/>
      <x:c r="H80" s="315"/>
      <x:c r="I80" s="315"/>
      <x:c r="J80" s="315"/>
      <x:c r="K80" s="315"/>
    </x:row>
  </x:sheetData>
  <x:mergeCells>
    <x:mergeCell ref="A1:G1"/>
    <x:mergeCell ref="A2:G2"/>
    <x:mergeCell ref="A16:C16"/>
  </x:mergeCells>
  <x:conditionalFormatting sqref="F5:F14">
    <x:cfRule type="cellIs" dxfId="5" priority="1" operator="lessThan">
      <x:formula>0</x:formula>
    </x:cfRule>
  </x:conditionalFormatting>
  <x:dataValidations count="1">
    <x:dataValidation type="list" sqref="C5:C14">
      <x:formula1>Settings!$B$2:$B$6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24" hidden="0" customWidth="1"/>
  </x:cols>
  <x:sheetData>
    <x:row r="1" ht="28" hidden="0" customHeight="1">
      <x:c r="A1" s="867" t="str">
        <x:v>Expenses</x:v>
      </x:c>
      <x:c r="B1" s="867"/>
      <x:c r="C1" s="867"/>
      <x:c r="D1" s="867"/>
      <x:c r="E1" s="867"/>
      <x:c r="F1" s="867"/>
      <x:c r="G1" s="867"/>
      <x:c r="H1" s="867"/>
      <x:c r="I1" s="315"/>
      <x:c r="J1" s="315"/>
      <x:c r="K1" s="315"/>
    </x:row>
    <x:row r="2" ht="20" hidden="0" customHeight="1">
      <x:c r="A2" s="838" t="str">
        <x:v>Expense plan, actual spending and categories</x:v>
      </x:c>
      <x:c r="B2" s="873"/>
      <x:c r="C2" s="873"/>
      <x:c r="D2" s="873"/>
      <x:c r="E2" s="873"/>
      <x:c r="F2" s="873"/>
      <x:c r="G2" s="873"/>
      <x:c r="H2" s="873"/>
      <x:c r="I2" s="315"/>
      <x:c r="J2" s="315"/>
      <x:c r="K2" s="315"/>
    </x:row>
    <x:row r="3" ht="15" hidden="0" customHeight="1">
      <x:c r="A3" s="315"/>
      <x:c r="B3" s="315"/>
      <x:c r="C3" s="315"/>
      <x:c r="D3" s="315"/>
      <x:c r="E3" s="315"/>
      <x:c r="F3" s="315"/>
      <x:c r="G3" s="315"/>
      <x:c r="H3" s="315"/>
      <x:c r="I3" s="315"/>
      <x:c r="J3" s="315"/>
      <x:c r="K3" s="315"/>
    </x:row>
    <x:row r="4" ht="22" hidden="0" customHeight="1">
      <x:c r="A4" s="840" t="str">
        <x:v>Date</x:v>
      </x:c>
      <x:c r="B4" s="840" t="str">
        <x:v>Expense Category</x:v>
      </x:c>
      <x:c r="C4" s="840" t="str">
        <x:v>Description</x:v>
      </x:c>
      <x:c r="D4" s="840" t="str">
        <x:v>Planned Expense</x:v>
      </x:c>
      <x:c r="E4" s="840" t="str">
        <x:v>Actual Expense</x:v>
      </x:c>
      <x:c r="F4" s="840" t="str">
        <x:v>Difference</x:v>
      </x:c>
      <x:c r="G4" s="840" t="str">
        <x:v>Type</x:v>
      </x:c>
      <x:c r="H4" s="840" t="str">
        <x:v>Notes</x:v>
      </x:c>
      <x:c r="I4" s="315"/>
      <x:c r="J4" s="315"/>
      <x:c r="K4" s="315"/>
    </x:row>
    <x:row r="5" ht="21" hidden="0" customHeight="1">
      <x:c r="A5" s="877" t="n">
        <x:v>46143</x:v>
      </x:c>
      <x:c r="B5" s="854" t="str">
        <x:v>Housing</x:v>
      </x:c>
      <x:c r="C5" s="854" t="str">
        <x:v>Rent</x:v>
      </x:c>
      <x:c r="D5" s="852" t="n">
        <x:v>700</x:v>
      </x:c>
      <x:c r="E5" s="852" t="n">
        <x:v>700</x:v>
      </x:c>
      <x:c r="F5" s="852" t="n">
        <x:f>D5-E5</x:f>
        <x:v>0</x:v>
      </x:c>
      <x:c r="G5" s="854" t="str">
        <x:v>Essential</x:v>
      </x:c>
      <x:c r="H5" s="854" t="str">
        <x:v>Fixed cost</x:v>
      </x:c>
      <x:c r="I5" s="315"/>
      <x:c r="J5" s="315"/>
      <x:c r="K5" s="315"/>
    </x:row>
    <x:row r="6" ht="21" hidden="0" customHeight="1">
      <x:c r="A6" s="877" t="n">
        <x:v>46144</x:v>
      </x:c>
      <x:c r="B6" s="854" t="str">
        <x:v>Food</x:v>
      </x:c>
      <x:c r="C6" s="854" t="str">
        <x:v>Groceries</x:v>
      </x:c>
      <x:c r="D6" s="852" t="n">
        <x:v>300</x:v>
      </x:c>
      <x:c r="E6" s="852" t="n">
        <x:v>345</x:v>
      </x:c>
      <x:c r="F6" s="852" t="n">
        <x:f>D6-E6</x:f>
        <x:v>-45</x:v>
      </x:c>
      <x:c r="G6" s="854" t="str">
        <x:v>Essential</x:v>
      </x:c>
      <x:c r="H6" s="854" t="str">
        <x:v>Higher than planned</x:v>
      </x:c>
      <x:c r="I6" s="315"/>
      <x:c r="J6" s="315"/>
      <x:c r="K6" s="315"/>
    </x:row>
    <x:row r="7" ht="21" hidden="0" customHeight="1">
      <x:c r="A7" s="877" t="n">
        <x:v>46145</x:v>
      </x:c>
      <x:c r="B7" s="854" t="str">
        <x:v>Transport</x:v>
      </x:c>
      <x:c r="C7" s="854" t="str">
        <x:v>Fuel / public transport</x:v>
      </x:c>
      <x:c r="D7" s="852" t="n">
        <x:v>120</x:v>
      </x:c>
      <x:c r="E7" s="852" t="n">
        <x:v>95</x:v>
      </x:c>
      <x:c r="F7" s="852" t="n">
        <x:f>D7-E7</x:f>
        <x:v>25</x:v>
      </x:c>
      <x:c r="G7" s="854" t="str">
        <x:v>Essential</x:v>
      </x:c>
      <x:c r="H7" s="854" t="str">
        <x:v>Saved here</x:v>
      </x:c>
      <x:c r="I7" s="315"/>
      <x:c r="J7" s="315"/>
      <x:c r="K7" s="315"/>
    </x:row>
    <x:row r="8" ht="21" hidden="0" customHeight="1">
      <x:c r="A8" s="877" t="n">
        <x:v>46146</x:v>
      </x:c>
      <x:c r="B8" s="854" t="str">
        <x:v>Utilities</x:v>
      </x:c>
      <x:c r="C8" s="854" t="str">
        <x:v>Electricity / internet</x:v>
      </x:c>
      <x:c r="D8" s="852" t="n">
        <x:v>160</x:v>
      </x:c>
      <x:c r="E8" s="852" t="n">
        <x:v>150</x:v>
      </x:c>
      <x:c r="F8" s="852" t="n">
        <x:f>D8-E8</x:f>
        <x:v>10</x:v>
      </x:c>
      <x:c r="G8" s="854" t="str">
        <x:v>Essential</x:v>
      </x:c>
      <x:c r="H8" s="854" t="str">
        <x:v>Normal</x:v>
      </x:c>
      <x:c r="I8" s="315"/>
      <x:c r="J8" s="315"/>
      <x:c r="K8" s="315"/>
    </x:row>
    <x:row r="9" ht="21" hidden="0" customHeight="1">
      <x:c r="A9" s="877" t="n">
        <x:v>46147</x:v>
      </x:c>
      <x:c r="B9" s="854" t="str">
        <x:v>Subscriptions</x:v>
      </x:c>
      <x:c r="C9" s="854" t="str">
        <x:v>Software / apps</x:v>
      </x:c>
      <x:c r="D9" s="852" t="n">
        <x:v>60</x:v>
      </x:c>
      <x:c r="E9" s="852" t="n">
        <x:v>78</x:v>
      </x:c>
      <x:c r="F9" s="852" t="n">
        <x:f>D9-E9</x:f>
        <x:v>-18</x:v>
      </x:c>
      <x:c r="G9" s="854" t="str">
        <x:v>Optional</x:v>
      </x:c>
      <x:c r="H9" s="854" t="str">
        <x:v>Review subscriptions</x:v>
      </x:c>
      <x:c r="I9" s="315"/>
      <x:c r="J9" s="315"/>
      <x:c r="K9" s="315"/>
    </x:row>
    <x:row r="10" ht="21" hidden="0" customHeight="1">
      <x:c r="A10" s="877" t="n">
        <x:v>46150</x:v>
      </x:c>
      <x:c r="B10" s="854" t="str">
        <x:v>Health</x:v>
      </x:c>
      <x:c r="C10" s="854" t="str">
        <x:v>Pharmacy / gym</x:v>
      </x:c>
      <x:c r="D10" s="852" t="n">
        <x:v>80</x:v>
      </x:c>
      <x:c r="E10" s="852" t="n">
        <x:v>65</x:v>
      </x:c>
      <x:c r="F10" s="852" t="n">
        <x:f>D10-E10</x:f>
        <x:v>15</x:v>
      </x:c>
      <x:c r="G10" s="854" t="str">
        <x:v>Essential</x:v>
      </x:c>
      <x:c r="H10" s="854" t="str">
        <x:v>Good</x:v>
      </x:c>
      <x:c r="I10" s="315"/>
      <x:c r="J10" s="315"/>
      <x:c r="K10" s="315"/>
    </x:row>
    <x:row r="11" ht="21" hidden="0" customHeight="1">
      <x:c r="A11" s="877" t="n">
        <x:v>46152</x:v>
      </x:c>
      <x:c r="B11" s="854" t="str">
        <x:v>Education</x:v>
      </x:c>
      <x:c r="C11" s="854" t="str">
        <x:v>Books / courses</x:v>
      </x:c>
      <x:c r="D11" s="852" t="n">
        <x:v>100</x:v>
      </x:c>
      <x:c r="E11" s="852" t="n">
        <x:v>120</x:v>
      </x:c>
      <x:c r="F11" s="852" t="n">
        <x:f>D11-E11</x:f>
        <x:v>-20</x:v>
      </x:c>
      <x:c r="G11" s="854" t="str">
        <x:v>Optional</x:v>
      </x:c>
      <x:c r="H11" s="854" t="str">
        <x:v>Useful investment</x:v>
      </x:c>
      <x:c r="I11" s="315"/>
      <x:c r="J11" s="315"/>
      <x:c r="K11" s="315"/>
    </x:row>
    <x:row r="12" ht="21" hidden="0" customHeight="1">
      <x:c r="A12" s="877" t="n">
        <x:v>46153</x:v>
      </x:c>
      <x:c r="B12" s="854" t="str">
        <x:v>Entertainment</x:v>
      </x:c>
      <x:c r="C12" s="854" t="str">
        <x:v>Restaurants / cinema</x:v>
      </x:c>
      <x:c r="D12" s="852" t="n">
        <x:v>120</x:v>
      </x:c>
      <x:c r="E12" s="852" t="n">
        <x:v>170</x:v>
      </x:c>
      <x:c r="F12" s="852" t="n">
        <x:f>D12-E12</x:f>
        <x:v>-50</x:v>
      </x:c>
      <x:c r="G12" s="854" t="str">
        <x:v>Optional</x:v>
      </x:c>
      <x:c r="H12" s="854" t="str">
        <x:v>Too high</x:v>
      </x:c>
      <x:c r="I12" s="315"/>
      <x:c r="J12" s="315"/>
      <x:c r="K12" s="315"/>
    </x:row>
    <x:row r="13" ht="21" hidden="0" customHeight="1">
      <x:c r="A13" s="877" t="n">
        <x:v>46156</x:v>
      </x:c>
      <x:c r="B13" s="854" t="str">
        <x:v>Shopping</x:v>
      </x:c>
      <x:c r="C13" s="854" t="str">
        <x:v>Clothes / electronics</x:v>
      </x:c>
      <x:c r="D13" s="852" t="n">
        <x:v>150</x:v>
      </x:c>
      <x:c r="E13" s="852" t="n">
        <x:v>210</x:v>
      </x:c>
      <x:c r="F13" s="852" t="n">
        <x:f>D13-E13</x:f>
        <x:v>-60</x:v>
      </x:c>
      <x:c r="G13" s="854" t="str">
        <x:v>Optional</x:v>
      </x:c>
      <x:c r="H13" s="854" t="str">
        <x:v>Reduce next month</x:v>
      </x:c>
      <x:c r="I13" s="315"/>
      <x:c r="J13" s="315"/>
      <x:c r="K13" s="315"/>
    </x:row>
    <x:row r="14" ht="21" hidden="0" customHeight="1">
      <x:c r="A14" s="877" t="n">
        <x:v>46162</x:v>
      </x:c>
      <x:c r="B14" s="854" t="str">
        <x:v>Other</x:v>
      </x:c>
      <x:c r="C14" s="854" t="str">
        <x:v>Unexpected</x:v>
      </x:c>
      <x:c r="D14" s="852" t="n">
        <x:v>75</x:v>
      </x:c>
      <x:c r="E14" s="852" t="n">
        <x:v>40</x:v>
      </x:c>
      <x:c r="F14" s="852" t="n">
        <x:f>D14-E14</x:f>
        <x:v>35</x:v>
      </x:c>
      <x:c r="G14" s="854" t="str">
        <x:v>Optional</x:v>
      </x:c>
      <x:c r="H14" s="854" t="str">
        <x:v>Ok</x:v>
      </x:c>
      <x:c r="I14" s="315"/>
      <x:c r="J14" s="315"/>
      <x:c r="K14" s="315"/>
    </x:row>
    <x:row r="15" ht="21" hidden="0" customHeight="1">
      <x:c r="A15" s="877"/>
      <x:c r="B15" s="854"/>
      <x:c r="C15" s="854"/>
      <x:c r="D15" s="852"/>
      <x:c r="E15" s="852"/>
      <x:c r="F15" s="852" t="n">
        <x:f>D15-E15</x:f>
        <x:v>0</x:v>
      </x:c>
      <x:c r="G15" s="854"/>
      <x:c r="H15" s="854"/>
      <x:c r="I15" s="315"/>
      <x:c r="J15" s="315"/>
      <x:c r="K15" s="315"/>
    </x:row>
    <x:row r="16" ht="21" hidden="0" customHeight="1">
      <x:c r="A16" s="877"/>
      <x:c r="B16" s="854"/>
      <x:c r="C16" s="854"/>
      <x:c r="D16" s="852"/>
      <x:c r="E16" s="852"/>
      <x:c r="F16" s="852" t="n">
        <x:f>D16-E16</x:f>
        <x:v>0</x:v>
      </x:c>
      <x:c r="G16" s="854"/>
      <x:c r="H16" s="854"/>
      <x:c r="I16" s="315"/>
      <x:c r="J16" s="315"/>
      <x:c r="K16" s="315"/>
    </x:row>
    <x:row r="17" ht="21" hidden="0" customHeight="1">
      <x:c r="A17" s="877"/>
      <x:c r="B17" s="854"/>
      <x:c r="C17" s="854"/>
      <x:c r="D17" s="852"/>
      <x:c r="E17" s="852"/>
      <x:c r="F17" s="852" t="n">
        <x:f>D17-E17</x:f>
        <x:v>0</x:v>
      </x:c>
      <x:c r="G17" s="854"/>
      <x:c r="H17" s="854"/>
      <x:c r="I17" s="315"/>
      <x:c r="J17" s="315"/>
      <x:c r="K17" s="315"/>
    </x:row>
    <x:row r="18" ht="21" hidden="0" customHeight="1">
      <x:c r="A18" s="877"/>
      <x:c r="B18" s="854"/>
      <x:c r="C18" s="854"/>
      <x:c r="D18" s="852"/>
      <x:c r="E18" s="852"/>
      <x:c r="F18" s="852" t="n">
        <x:f>D18-E18</x:f>
        <x:v>0</x:v>
      </x:c>
      <x:c r="G18" s="854"/>
      <x:c r="H18" s="854"/>
      <x:c r="I18" s="315"/>
      <x:c r="J18" s="315"/>
      <x:c r="K18" s="315"/>
    </x:row>
    <x:row r="19" ht="21" hidden="0" customHeight="1">
      <x:c r="A19" s="877"/>
      <x:c r="B19" s="854"/>
      <x:c r="C19" s="854"/>
      <x:c r="D19" s="852"/>
      <x:c r="E19" s="852"/>
      <x:c r="F19" s="852" t="n">
        <x:f>D19-E19</x:f>
        <x:v>0</x:v>
      </x:c>
      <x:c r="G19" s="854"/>
      <x:c r="H19" s="854"/>
      <x:c r="I19" s="315"/>
      <x:c r="J19" s="315"/>
      <x:c r="K19" s="315"/>
    </x:row>
    <x:row r="20" ht="21" hidden="0" customHeight="1">
      <x:c r="A20" s="877"/>
      <x:c r="B20" s="854"/>
      <x:c r="C20" s="854"/>
      <x:c r="D20" s="852"/>
      <x:c r="E20" s="852"/>
      <x:c r="F20" s="852" t="n">
        <x:f>D20-E20</x:f>
        <x:v>0</x:v>
      </x:c>
      <x:c r="G20" s="854"/>
      <x:c r="H20" s="854"/>
      <x:c r="I20" s="315"/>
      <x:c r="J20" s="315"/>
      <x:c r="K20" s="315"/>
    </x:row>
    <x:row r="21" ht="21" hidden="0" customHeight="1">
      <x:c r="A21" s="877"/>
      <x:c r="B21" s="854"/>
      <x:c r="C21" s="854"/>
      <x:c r="D21" s="852"/>
      <x:c r="E21" s="852"/>
      <x:c r="F21" s="852" t="n">
        <x:f>D21-E21</x:f>
        <x:v>0</x:v>
      </x:c>
      <x:c r="G21" s="854"/>
      <x:c r="H21" s="854"/>
      <x:c r="I21" s="315"/>
      <x:c r="J21" s="315"/>
      <x:c r="K21" s="315"/>
    </x:row>
    <x:row r="22" ht="21" hidden="0" customHeight="1">
      <x:c r="A22" s="877"/>
      <x:c r="B22" s="854"/>
      <x:c r="C22" s="854"/>
      <x:c r="D22" s="852"/>
      <x:c r="E22" s="852"/>
      <x:c r="F22" s="852" t="n">
        <x:f>D22-E22</x:f>
        <x:v>0</x:v>
      </x:c>
      <x:c r="G22" s="854"/>
      <x:c r="H22" s="854"/>
      <x:c r="I22" s="315"/>
      <x:c r="J22" s="315"/>
      <x:c r="K22" s="315"/>
    </x:row>
    <x:row r="23" ht="21" hidden="0" customHeight="1">
      <x:c r="A23" s="877"/>
      <x:c r="B23" s="854"/>
      <x:c r="C23" s="854"/>
      <x:c r="D23" s="852"/>
      <x:c r="E23" s="852"/>
      <x:c r="F23" s="852" t="n">
        <x:f>D23-E23</x:f>
        <x:v>0</x:v>
      </x:c>
      <x:c r="G23" s="854"/>
      <x:c r="H23" s="854"/>
      <x:c r="I23" s="315"/>
      <x:c r="J23" s="315"/>
      <x:c r="K23" s="315"/>
    </x:row>
    <x:row r="24" ht="21" hidden="0" customHeight="1">
      <x:c r="A24" s="878"/>
      <x:c r="B24" s="875"/>
      <x:c r="C24" s="875"/>
      <x:c r="D24" s="876"/>
      <x:c r="E24" s="876"/>
      <x:c r="F24" s="856" t="n">
        <x:f>D24-E24</x:f>
        <x:v>0</x:v>
      </x:c>
      <x:c r="G24" s="875"/>
      <x:c r="H24" s="875"/>
      <x:c r="I24" s="315"/>
      <x:c r="J24" s="315"/>
      <x:c r="K24" s="315"/>
    </x:row>
    <x:row r="25" ht="15" hidden="0" customHeight="1">
      <x:c r="A25" s="315"/>
      <x:c r="B25" s="315"/>
      <x:c r="C25" s="315"/>
      <x:c r="D25" s="724"/>
      <x:c r="E25" s="724"/>
      <x:c r="F25" s="724"/>
      <x:c r="G25" s="315"/>
      <x:c r="H25" s="315"/>
      <x:c r="I25" s="315"/>
      <x:c r="J25" s="315"/>
      <x:c r="K25" s="315"/>
    </x:row>
    <x:row r="26" ht="15" hidden="0" customHeight="1">
      <x:c r="A26" s="573" t="str">
        <x:v>Expense Summary</x:v>
      </x:c>
      <x:c r="B26" s="573"/>
      <x:c r="C26" s="573"/>
      <x:c r="D26" s="722"/>
      <x:c r="E26" s="722"/>
      <x:c r="F26" s="722"/>
      <x:c r="G26" s="699"/>
      <x:c r="H26" s="699"/>
      <x:c r="I26" s="315"/>
      <x:c r="J26" s="315"/>
      <x:c r="K26" s="315"/>
    </x:row>
    <x:row r="27" ht="15" hidden="0" customHeight="1">
      <x:c r="A27" s="644" t="str">
        <x:v>Total planned expenses</x:v>
      </x:c>
      <x:c r="B27" s="706" t="n">
        <x:f>SUM(D5:D24)</x:f>
        <x:v>1865</x:v>
      </x:c>
      <x:c r="C27" s="315"/>
      <x:c r="D27" s="724"/>
      <x:c r="E27" s="724"/>
      <x:c r="F27" s="724"/>
      <x:c r="G27" s="315"/>
      <x:c r="H27" s="315"/>
      <x:c r="I27" s="315"/>
      <x:c r="J27" s="315"/>
      <x:c r="K27" s="315"/>
    </x:row>
    <x:row r="28" ht="15" hidden="0" customHeight="1">
      <x:c r="A28" s="644" t="str">
        <x:v>Total actual expenses</x:v>
      </x:c>
      <x:c r="B28" s="706" t="n">
        <x:f>SUM(E5:E24)</x:f>
        <x:v>1973</x:v>
      </x:c>
      <x:c r="C28" s="315"/>
      <x:c r="D28" s="724"/>
      <x:c r="E28" s="724"/>
      <x:c r="F28" s="724"/>
      <x:c r="G28" s="315"/>
      <x:c r="H28" s="315"/>
      <x:c r="I28" s="315"/>
      <x:c r="J28" s="315"/>
      <x:c r="K28" s="315"/>
    </x:row>
    <x:row r="29" ht="15" hidden="0" customHeight="1">
      <x:c r="A29" s="644" t="str">
        <x:v>Expense variance</x:v>
      </x:c>
      <x:c r="B29" s="706" t="n">
        <x:f>B27-B28</x:f>
        <x:v>-108</x:v>
      </x:c>
      <x:c r="C29" s="315"/>
      <x:c r="D29" s="724"/>
      <x:c r="E29" s="724"/>
      <x:c r="F29" s="724"/>
      <x:c r="G29" s="315"/>
      <x:c r="H29" s="315"/>
      <x:c r="I29" s="315"/>
      <x:c r="J29" s="315"/>
      <x:c r="K29" s="315"/>
    </x:row>
    <x:row r="30" ht="15" hidden="0" customHeight="1">
      <x:c r="A30" s="644" t="str">
        <x:v>Essential expenses</x:v>
      </x:c>
      <x:c r="B30" s="706" t="n">
        <x:f>SUMIF(G5:G24,"Essential",E5:E24)</x:f>
        <x:v>1355</x:v>
      </x:c>
      <x:c r="C30" s="315"/>
      <x:c r="D30" s="724"/>
      <x:c r="E30" s="724"/>
      <x:c r="F30" s="724"/>
      <x:c r="G30" s="315"/>
      <x:c r="H30" s="315"/>
      <x:c r="I30" s="315"/>
      <x:c r="J30" s="315"/>
      <x:c r="K30" s="315"/>
    </x:row>
    <x:row r="31" ht="15" hidden="0" customHeight="1">
      <x:c r="A31" s="644" t="str">
        <x:v>Optional expenses</x:v>
      </x:c>
      <x:c r="B31" s="706" t="n">
        <x:f>SUMIF(G5:G24,"Optional",E5:E24)</x:f>
        <x:v>618</x:v>
      </x:c>
      <x:c r="C31" s="315"/>
      <x:c r="D31" s="724"/>
      <x:c r="E31" s="724"/>
      <x:c r="F31" s="724"/>
      <x:c r="G31" s="315"/>
      <x:c r="H31" s="315"/>
      <x:c r="I31" s="315"/>
      <x:c r="J31" s="315"/>
      <x:c r="K31" s="315"/>
    </x:row>
    <x:row r="32" ht="15" hidden="0" customHeight="1">
      <x:c r="A32" s="644" t="str">
        <x:v>Optional spending ratio</x:v>
      </x:c>
      <x:c r="B32" s="725" t="n">
        <x:f>IFERROR(B31/B28,0)</x:f>
        <x:v>0.31322858590978203</x:v>
      </x:c>
      <x:c r="C32" s="315"/>
      <x:c r="D32" s="724"/>
      <x:c r="E32" s="724"/>
      <x:c r="F32" s="724"/>
      <x:c r="G32" s="315"/>
      <x:c r="H32" s="315"/>
      <x:c r="I32" s="315"/>
      <x:c r="J32" s="315"/>
      <x:c r="K32" s="315"/>
    </x:row>
    <x:row r="33" ht="15" hidden="0" customHeight="1">
      <x:c r="A33" s="315"/>
      <x:c r="B33" s="315"/>
      <x:c r="C33" s="315"/>
      <x:c r="D33" s="315"/>
      <x:c r="E33" s="315"/>
      <x:c r="F33" s="315"/>
      <x:c r="G33" s="315"/>
      <x:c r="H33" s="315"/>
      <x:c r="I33" s="315"/>
      <x:c r="J33" s="315"/>
      <x:c r="K33" s="315"/>
    </x:row>
    <x:row r="34" ht="15" hidden="0" customHeight="1">
      <x:c r="A34" s="315"/>
      <x:c r="B34" s="315"/>
      <x:c r="C34" s="315"/>
      <x:c r="D34" s="315"/>
      <x:c r="E34" s="315"/>
      <x:c r="F34" s="315"/>
      <x:c r="G34" s="315"/>
      <x:c r="H34" s="315"/>
      <x:c r="I34" s="315"/>
      <x:c r="J34" s="315"/>
      <x:c r="K34" s="315"/>
    </x:row>
    <x:row r="35" ht="15" hidden="0" customHeight="1">
      <x:c r="A35" s="315"/>
      <x:c r="B35" s="315"/>
      <x:c r="C35" s="315"/>
      <x:c r="D35" s="315"/>
      <x:c r="E35" s="315"/>
      <x:c r="F35" s="315"/>
      <x:c r="G35" s="315"/>
      <x:c r="H35" s="315"/>
      <x:c r="I35" s="315"/>
      <x:c r="J35" s="315"/>
      <x:c r="K35" s="315"/>
    </x:row>
    <x:row r="36" ht="15" hidden="0" customHeight="1">
      <x:c r="A36" s="315"/>
      <x:c r="B36" s="315"/>
      <x:c r="C36" s="315"/>
      <x:c r="D36" s="315"/>
      <x:c r="E36" s="315"/>
      <x:c r="F36" s="315"/>
      <x:c r="G36" s="315"/>
      <x:c r="H36" s="315"/>
      <x:c r="I36" s="315"/>
      <x:c r="J36" s="315"/>
      <x:c r="K36" s="315"/>
    </x:row>
    <x:row r="37" ht="15" hidden="0" customHeight="1">
      <x:c r="A37" s="315"/>
      <x:c r="B37" s="315"/>
      <x:c r="C37" s="315"/>
      <x:c r="D37" s="315"/>
      <x:c r="E37" s="315"/>
      <x:c r="F37" s="315"/>
      <x:c r="G37" s="315"/>
      <x:c r="H37" s="315"/>
      <x:c r="I37" s="315"/>
      <x:c r="J37" s="315"/>
      <x:c r="K37" s="315"/>
    </x:row>
    <x:row r="38" ht="15" hidden="0" customHeight="1">
      <x:c r="A38" s="315"/>
      <x:c r="B38" s="315"/>
      <x:c r="C38" s="315"/>
      <x:c r="D38" s="315"/>
      <x:c r="E38" s="315"/>
      <x:c r="F38" s="315"/>
      <x:c r="G38" s="315"/>
      <x:c r="H38" s="315"/>
      <x:c r="I38" s="315"/>
      <x:c r="J38" s="315"/>
      <x:c r="K38" s="315"/>
    </x:row>
    <x:row r="39" ht="15" hidden="0" customHeight="1">
      <x:c r="A39" s="315"/>
      <x:c r="B39" s="315"/>
      <x:c r="C39" s="315"/>
      <x:c r="D39" s="315"/>
      <x:c r="E39" s="315"/>
      <x:c r="F39" s="315"/>
      <x:c r="G39" s="315"/>
      <x:c r="H39" s="315"/>
      <x:c r="I39" s="315"/>
      <x:c r="J39" s="315"/>
      <x:c r="K39" s="315"/>
    </x:row>
    <x:row r="40" ht="15" hidden="0" customHeight="1">
      <x:c r="A40" s="315"/>
      <x:c r="B40" s="315"/>
      <x:c r="C40" s="315"/>
      <x:c r="D40" s="315"/>
      <x:c r="E40" s="315"/>
      <x:c r="F40" s="315"/>
      <x:c r="G40" s="315"/>
      <x:c r="H40" s="315"/>
      <x:c r="I40" s="315"/>
      <x:c r="J40" s="315"/>
      <x:c r="K40" s="315"/>
    </x:row>
    <x:row r="41" ht="15" hidden="0" customHeight="1">
      <x:c r="A41" s="315"/>
      <x:c r="B41" s="315"/>
      <x:c r="C41" s="315"/>
      <x:c r="D41" s="315"/>
      <x:c r="E41" s="315"/>
      <x:c r="F41" s="315"/>
      <x:c r="G41" s="315"/>
      <x:c r="H41" s="315"/>
      <x:c r="I41" s="315"/>
      <x:c r="J41" s="315"/>
      <x:c r="K41" s="315"/>
    </x:row>
    <x:row r="42" ht="15" hidden="0" customHeight="1">
      <x:c r="A42" s="315"/>
      <x:c r="B42" s="315"/>
      <x:c r="C42" s="315"/>
      <x:c r="D42" s="315"/>
      <x:c r="E42" s="315"/>
      <x:c r="F42" s="315"/>
      <x:c r="G42" s="315"/>
      <x:c r="H42" s="315"/>
      <x:c r="I42" s="315"/>
      <x:c r="J42" s="315"/>
      <x:c r="K42" s="315"/>
    </x:row>
    <x:row r="43" ht="15" hidden="0" customHeight="1">
      <x:c r="A43" s="315"/>
      <x:c r="B43" s="315"/>
      <x:c r="C43" s="315"/>
      <x:c r="D43" s="315"/>
      <x:c r="E43" s="315"/>
      <x:c r="F43" s="315"/>
      <x:c r="G43" s="315"/>
      <x:c r="H43" s="315"/>
      <x:c r="I43" s="315"/>
      <x:c r="J43" s="315"/>
      <x:c r="K43" s="315"/>
    </x:row>
    <x:row r="44" ht="15" hidden="0" customHeight="1">
      <x:c r="A44" s="315"/>
      <x:c r="B44" s="315"/>
      <x:c r="C44" s="315"/>
      <x:c r="D44" s="315"/>
      <x:c r="E44" s="315"/>
      <x:c r="F44" s="315"/>
      <x:c r="G44" s="315"/>
      <x:c r="H44" s="315"/>
      <x:c r="I44" s="315"/>
      <x:c r="J44" s="315"/>
      <x:c r="K44" s="315"/>
    </x:row>
    <x:row r="45" ht="15" hidden="0" customHeight="1">
      <x:c r="A45" s="315"/>
      <x:c r="B45" s="315"/>
      <x:c r="C45" s="315"/>
      <x:c r="D45" s="315"/>
      <x:c r="E45" s="315"/>
      <x:c r="F45" s="315"/>
      <x:c r="G45" s="315"/>
      <x:c r="H45" s="315"/>
      <x:c r="I45" s="315"/>
      <x:c r="J45" s="315"/>
      <x:c r="K45" s="315"/>
    </x:row>
    <x:row r="46" ht="15" hidden="0" customHeight="1">
      <x:c r="A46" s="315"/>
      <x:c r="B46" s="315"/>
      <x:c r="C46" s="315"/>
      <x:c r="D46" s="315"/>
      <x:c r="E46" s="315"/>
      <x:c r="F46" s="315"/>
      <x:c r="G46" s="315"/>
      <x:c r="H46" s="315"/>
      <x:c r="I46" s="315"/>
      <x:c r="J46" s="315"/>
      <x:c r="K46" s="315"/>
    </x:row>
    <x:row r="47" ht="15" hidden="0" customHeight="1">
      <x:c r="A47" s="315"/>
      <x:c r="B47" s="315"/>
      <x:c r="C47" s="315"/>
      <x:c r="D47" s="315"/>
      <x:c r="E47" s="315"/>
      <x:c r="F47" s="315"/>
      <x:c r="G47" s="315"/>
      <x:c r="H47" s="315"/>
      <x:c r="I47" s="315"/>
      <x:c r="J47" s="315"/>
      <x:c r="K47" s="315"/>
    </x:row>
    <x:row r="48" ht="15" hidden="0" customHeight="1">
      <x:c r="A48" s="315"/>
      <x:c r="B48" s="315"/>
      <x:c r="C48" s="315"/>
      <x:c r="D48" s="315"/>
      <x:c r="E48" s="315"/>
      <x:c r="F48" s="315"/>
      <x:c r="G48" s="315"/>
      <x:c r="H48" s="315"/>
      <x:c r="I48" s="315"/>
      <x:c r="J48" s="315"/>
      <x:c r="K48" s="315"/>
    </x:row>
    <x:row r="49" ht="15" hidden="0" customHeight="1">
      <x:c r="A49" s="315"/>
      <x:c r="B49" s="315"/>
      <x:c r="C49" s="315"/>
      <x:c r="D49" s="315"/>
      <x:c r="E49" s="315"/>
      <x:c r="F49" s="315"/>
      <x:c r="G49" s="315"/>
      <x:c r="H49" s="315"/>
      <x:c r="I49" s="315"/>
      <x:c r="J49" s="315"/>
      <x:c r="K49" s="315"/>
    </x:row>
    <x:row r="50" ht="15" hidden="0" customHeight="1">
      <x:c r="A50" s="315"/>
      <x:c r="B50" s="315"/>
      <x:c r="C50" s="315"/>
      <x:c r="D50" s="315"/>
      <x:c r="E50" s="315"/>
      <x:c r="F50" s="315"/>
      <x:c r="G50" s="315"/>
      <x:c r="H50" s="315"/>
      <x:c r="I50" s="315"/>
      <x:c r="J50" s="315"/>
      <x:c r="K50" s="315"/>
    </x:row>
    <x:row r="51" ht="15" hidden="0" customHeight="1">
      <x:c r="A51" s="315"/>
      <x:c r="B51" s="315"/>
      <x:c r="C51" s="315"/>
      <x:c r="D51" s="315"/>
      <x:c r="E51" s="315"/>
      <x:c r="F51" s="315"/>
      <x:c r="G51" s="315"/>
      <x:c r="H51" s="315"/>
      <x:c r="I51" s="315"/>
      <x:c r="J51" s="315"/>
      <x:c r="K51" s="315"/>
    </x:row>
    <x:row r="52" ht="15" hidden="0" customHeight="1">
      <x:c r="A52" s="315"/>
      <x:c r="B52" s="315"/>
      <x:c r="C52" s="315"/>
      <x:c r="D52" s="315"/>
      <x:c r="E52" s="315"/>
      <x:c r="F52" s="315"/>
      <x:c r="G52" s="315"/>
      <x:c r="H52" s="315"/>
      <x:c r="I52" s="315"/>
      <x:c r="J52" s="315"/>
      <x:c r="K52" s="315"/>
    </x:row>
    <x:row r="53" ht="15" hidden="0" customHeight="1">
      <x:c r="A53" s="315"/>
      <x:c r="B53" s="315"/>
      <x:c r="C53" s="315"/>
      <x:c r="D53" s="315"/>
      <x:c r="E53" s="315"/>
      <x:c r="F53" s="315"/>
      <x:c r="G53" s="315"/>
      <x:c r="H53" s="315"/>
      <x:c r="I53" s="315"/>
      <x:c r="J53" s="315"/>
      <x:c r="K53" s="315"/>
    </x:row>
    <x:row r="54" ht="15" hidden="0" customHeight="1">
      <x:c r="A54" s="315"/>
      <x:c r="B54" s="315"/>
      <x:c r="C54" s="315"/>
      <x:c r="D54" s="315"/>
      <x:c r="E54" s="315"/>
      <x:c r="F54" s="315"/>
      <x:c r="G54" s="315"/>
      <x:c r="H54" s="315"/>
      <x:c r="I54" s="315"/>
      <x:c r="J54" s="315"/>
      <x:c r="K54" s="315"/>
    </x:row>
    <x:row r="55" ht="15" hidden="0" customHeight="1">
      <x:c r="A55" s="315"/>
      <x:c r="B55" s="315"/>
      <x:c r="C55" s="315"/>
      <x:c r="D55" s="315"/>
      <x:c r="E55" s="315"/>
      <x:c r="F55" s="315"/>
      <x:c r="G55" s="315"/>
      <x:c r="H55" s="315"/>
      <x:c r="I55" s="315"/>
      <x:c r="J55" s="315"/>
      <x:c r="K55" s="315"/>
    </x:row>
    <x:row r="56" ht="15" hidden="0" customHeight="1">
      <x:c r="A56" s="315"/>
      <x:c r="B56" s="315"/>
      <x:c r="C56" s="315"/>
      <x:c r="D56" s="315"/>
      <x:c r="E56" s="315"/>
      <x:c r="F56" s="315"/>
      <x:c r="G56" s="315"/>
      <x:c r="H56" s="315"/>
      <x:c r="I56" s="315"/>
      <x:c r="J56" s="315"/>
      <x:c r="K56" s="315"/>
    </x:row>
    <x:row r="57" ht="15" hidden="0" customHeight="1">
      <x:c r="A57" s="315"/>
      <x:c r="B57" s="315"/>
      <x:c r="C57" s="315"/>
      <x:c r="D57" s="315"/>
      <x:c r="E57" s="315"/>
      <x:c r="F57" s="315"/>
      <x:c r="G57" s="315"/>
      <x:c r="H57" s="315"/>
      <x:c r="I57" s="315"/>
      <x:c r="J57" s="315"/>
      <x:c r="K57" s="315"/>
    </x:row>
    <x:row r="58" ht="15" hidden="0" customHeight="1">
      <x:c r="A58" s="315"/>
      <x:c r="B58" s="315"/>
      <x:c r="C58" s="315"/>
      <x:c r="D58" s="315"/>
      <x:c r="E58" s="315"/>
      <x:c r="F58" s="315"/>
      <x:c r="G58" s="315"/>
      <x:c r="H58" s="315"/>
      <x:c r="I58" s="315"/>
      <x:c r="J58" s="315"/>
      <x:c r="K58" s="315"/>
    </x:row>
    <x:row r="59" ht="15" hidden="0" customHeight="1">
      <x:c r="A59" s="315"/>
      <x:c r="B59" s="315"/>
      <x:c r="C59" s="315"/>
      <x:c r="D59" s="315"/>
      <x:c r="E59" s="315"/>
      <x:c r="F59" s="315"/>
      <x:c r="G59" s="315"/>
      <x:c r="H59" s="315"/>
      <x:c r="I59" s="315"/>
      <x:c r="J59" s="315"/>
      <x:c r="K59" s="315"/>
    </x:row>
    <x:row r="60" ht="15" hidden="0" customHeight="1">
      <x:c r="A60" s="315"/>
      <x:c r="B60" s="315"/>
      <x:c r="C60" s="315"/>
      <x:c r="D60" s="315"/>
      <x:c r="E60" s="315"/>
      <x:c r="F60" s="315"/>
      <x:c r="G60" s="315"/>
      <x:c r="H60" s="315"/>
      <x:c r="I60" s="315"/>
      <x:c r="J60" s="315"/>
      <x:c r="K60" s="315"/>
    </x:row>
    <x:row r="61" ht="15" hidden="0" customHeight="1">
      <x:c r="A61" s="315"/>
      <x:c r="B61" s="315"/>
      <x:c r="C61" s="315"/>
      <x:c r="D61" s="315"/>
      <x:c r="E61" s="315"/>
      <x:c r="F61" s="315"/>
      <x:c r="G61" s="315"/>
      <x:c r="H61" s="315"/>
      <x:c r="I61" s="315"/>
      <x:c r="J61" s="315"/>
      <x:c r="K61" s="315"/>
    </x:row>
    <x:row r="62" ht="15" hidden="0" customHeight="1">
      <x:c r="A62" s="315"/>
      <x:c r="B62" s="315"/>
      <x:c r="C62" s="315"/>
      <x:c r="D62" s="315"/>
      <x:c r="E62" s="315"/>
      <x:c r="F62" s="315"/>
      <x:c r="G62" s="315"/>
      <x:c r="H62" s="315"/>
      <x:c r="I62" s="315"/>
      <x:c r="J62" s="315"/>
      <x:c r="K62" s="315"/>
    </x:row>
    <x:row r="63" ht="15" hidden="0" customHeight="1">
      <x:c r="A63" s="315"/>
      <x:c r="B63" s="315"/>
      <x:c r="C63" s="315"/>
      <x:c r="D63" s="315"/>
      <x:c r="E63" s="315"/>
      <x:c r="F63" s="315"/>
      <x:c r="G63" s="315"/>
      <x:c r="H63" s="315"/>
      <x:c r="I63" s="315"/>
      <x:c r="J63" s="315"/>
      <x:c r="K63" s="315"/>
    </x:row>
    <x:row r="64" ht="15" hidden="0" customHeight="1">
      <x:c r="A64" s="315"/>
      <x:c r="B64" s="315"/>
      <x:c r="C64" s="315"/>
      <x:c r="D64" s="315"/>
      <x:c r="E64" s="315"/>
      <x:c r="F64" s="315"/>
      <x:c r="G64" s="315"/>
      <x:c r="H64" s="315"/>
      <x:c r="I64" s="315"/>
      <x:c r="J64" s="315"/>
      <x:c r="K64" s="315"/>
    </x:row>
    <x:row r="65" ht="15" hidden="0" customHeight="1">
      <x:c r="A65" s="315"/>
      <x:c r="B65" s="315"/>
      <x:c r="C65" s="315"/>
      <x:c r="D65" s="315"/>
      <x:c r="E65" s="315"/>
      <x:c r="F65" s="315"/>
      <x:c r="G65" s="315"/>
      <x:c r="H65" s="315"/>
      <x:c r="I65" s="315"/>
      <x:c r="J65" s="315"/>
      <x:c r="K65" s="315"/>
    </x:row>
    <x:row r="66" ht="15" hidden="0" customHeight="1">
      <x:c r="A66" s="315"/>
      <x:c r="B66" s="315"/>
      <x:c r="C66" s="315"/>
      <x:c r="D66" s="315"/>
      <x:c r="E66" s="315"/>
      <x:c r="F66" s="315"/>
      <x:c r="G66" s="315"/>
      <x:c r="H66" s="315"/>
      <x:c r="I66" s="315"/>
      <x:c r="J66" s="315"/>
      <x:c r="K66" s="315"/>
    </x:row>
    <x:row r="67" ht="15" hidden="0" customHeight="1">
      <x:c r="A67" s="315"/>
      <x:c r="B67" s="315"/>
      <x:c r="C67" s="315"/>
      <x:c r="D67" s="315"/>
      <x:c r="E67" s="315"/>
      <x:c r="F67" s="315"/>
      <x:c r="G67" s="315"/>
      <x:c r="H67" s="315"/>
      <x:c r="I67" s="315"/>
      <x:c r="J67" s="315"/>
      <x:c r="K67" s="315"/>
    </x:row>
    <x:row r="68" ht="15" hidden="0" customHeight="1">
      <x:c r="A68" s="315"/>
      <x:c r="B68" s="315"/>
      <x:c r="C68" s="315"/>
      <x:c r="D68" s="315"/>
      <x:c r="E68" s="315"/>
      <x:c r="F68" s="315"/>
      <x:c r="G68" s="315"/>
      <x:c r="H68" s="315"/>
      <x:c r="I68" s="315"/>
      <x:c r="J68" s="315"/>
      <x:c r="K68" s="315"/>
    </x:row>
    <x:row r="69" ht="15" hidden="0" customHeight="1">
      <x:c r="A69" s="315"/>
      <x:c r="B69" s="315"/>
      <x:c r="C69" s="315"/>
      <x:c r="D69" s="315"/>
      <x:c r="E69" s="315"/>
      <x:c r="F69" s="315"/>
      <x:c r="G69" s="315"/>
      <x:c r="H69" s="315"/>
      <x:c r="I69" s="315"/>
      <x:c r="J69" s="315"/>
      <x:c r="K69" s="315"/>
    </x:row>
    <x:row r="70" ht="15" hidden="0" customHeight="1">
      <x:c r="A70" s="315"/>
      <x:c r="B70" s="315"/>
      <x:c r="C70" s="315"/>
      <x:c r="D70" s="315"/>
      <x:c r="E70" s="315"/>
      <x:c r="F70" s="315"/>
      <x:c r="G70" s="315"/>
      <x:c r="H70" s="315"/>
      <x:c r="I70" s="315"/>
      <x:c r="J70" s="315"/>
      <x:c r="K70" s="315"/>
    </x:row>
    <x:row r="71" ht="15" hidden="0" customHeight="1">
      <x:c r="A71" s="315"/>
      <x:c r="B71" s="315"/>
      <x:c r="C71" s="315"/>
      <x:c r="D71" s="315"/>
      <x:c r="E71" s="315"/>
      <x:c r="F71" s="315"/>
      <x:c r="G71" s="315"/>
      <x:c r="H71" s="315"/>
      <x:c r="I71" s="315"/>
      <x:c r="J71" s="315"/>
      <x:c r="K71" s="315"/>
    </x:row>
    <x:row r="72" ht="15" hidden="0" customHeight="1">
      <x:c r="A72" s="315"/>
      <x:c r="B72" s="315"/>
      <x:c r="C72" s="315"/>
      <x:c r="D72" s="315"/>
      <x:c r="E72" s="315"/>
      <x:c r="F72" s="315"/>
      <x:c r="G72" s="315"/>
      <x:c r="H72" s="315"/>
      <x:c r="I72" s="315"/>
      <x:c r="J72" s="315"/>
      <x:c r="K72" s="315"/>
    </x:row>
    <x:row r="73" ht="15" hidden="0" customHeight="1">
      <x:c r="A73" s="315"/>
      <x:c r="B73" s="315"/>
      <x:c r="C73" s="315"/>
      <x:c r="D73" s="315"/>
      <x:c r="E73" s="315"/>
      <x:c r="F73" s="315"/>
      <x:c r="G73" s="315"/>
      <x:c r="H73" s="315"/>
      <x:c r="I73" s="315"/>
      <x:c r="J73" s="315"/>
      <x:c r="K73" s="315"/>
    </x:row>
    <x:row r="74" ht="15" hidden="0" customHeight="1">
      <x:c r="A74" s="315"/>
      <x:c r="B74" s="315"/>
      <x:c r="C74" s="315"/>
      <x:c r="D74" s="315"/>
      <x:c r="E74" s="315"/>
      <x:c r="F74" s="315"/>
      <x:c r="G74" s="315"/>
      <x:c r="H74" s="315"/>
      <x:c r="I74" s="315"/>
      <x:c r="J74" s="315"/>
      <x:c r="K74" s="315"/>
    </x:row>
    <x:row r="75" ht="15" hidden="0" customHeight="1">
      <x:c r="A75" s="315"/>
      <x:c r="B75" s="315"/>
      <x:c r="C75" s="315"/>
      <x:c r="D75" s="315"/>
      <x:c r="E75" s="315"/>
      <x:c r="F75" s="315"/>
      <x:c r="G75" s="315"/>
      <x:c r="H75" s="315"/>
      <x:c r="I75" s="315"/>
      <x:c r="J75" s="315"/>
      <x:c r="K75" s="315"/>
    </x:row>
    <x:row r="76" ht="15" hidden="0" customHeight="1">
      <x:c r="A76" s="315"/>
      <x:c r="B76" s="315"/>
      <x:c r="C76" s="315"/>
      <x:c r="D76" s="315"/>
      <x:c r="E76" s="315"/>
      <x:c r="F76" s="315"/>
      <x:c r="G76" s="315"/>
      <x:c r="H76" s="315"/>
      <x:c r="I76" s="315"/>
      <x:c r="J76" s="315"/>
      <x:c r="K76" s="315"/>
    </x:row>
    <x:row r="77" ht="15" hidden="0" customHeight="1">
      <x:c r="A77" s="315"/>
      <x:c r="B77" s="315"/>
      <x:c r="C77" s="315"/>
      <x:c r="D77" s="315"/>
      <x:c r="E77" s="315"/>
      <x:c r="F77" s="315"/>
      <x:c r="G77" s="315"/>
      <x:c r="H77" s="315"/>
      <x:c r="I77" s="315"/>
      <x:c r="J77" s="315"/>
      <x:c r="K77" s="315"/>
    </x:row>
    <x:row r="78" ht="15" hidden="0" customHeight="1">
      <x:c r="A78" s="315"/>
      <x:c r="B78" s="315"/>
      <x:c r="C78" s="315"/>
      <x:c r="D78" s="315"/>
      <x:c r="E78" s="315"/>
      <x:c r="F78" s="315"/>
      <x:c r="G78" s="315"/>
      <x:c r="H78" s="315"/>
      <x:c r="I78" s="315"/>
      <x:c r="J78" s="315"/>
      <x:c r="K78" s="315"/>
    </x:row>
    <x:row r="79" ht="15" hidden="0" customHeight="1">
      <x:c r="A79" s="315"/>
      <x:c r="B79" s="315"/>
      <x:c r="C79" s="315"/>
      <x:c r="D79" s="315"/>
      <x:c r="E79" s="315"/>
      <x:c r="F79" s="315"/>
      <x:c r="G79" s="315"/>
      <x:c r="H79" s="315"/>
      <x:c r="I79" s="315"/>
      <x:c r="J79" s="315"/>
      <x:c r="K79" s="315"/>
    </x:row>
    <x:row r="80" ht="15" hidden="0" customHeight="1">
      <x:c r="A80" s="315"/>
      <x:c r="B80" s="315"/>
      <x:c r="C80" s="315"/>
      <x:c r="D80" s="315"/>
      <x:c r="E80" s="315"/>
      <x:c r="F80" s="315"/>
      <x:c r="G80" s="315"/>
      <x:c r="H80" s="315"/>
      <x:c r="I80" s="315"/>
      <x:c r="J80" s="315"/>
      <x:c r="K80" s="315"/>
    </x:row>
  </x:sheetData>
  <x:mergeCells>
    <x:mergeCell ref="A1:H1"/>
    <x:mergeCell ref="A2:H2"/>
    <x:mergeCell ref="A26:C26"/>
  </x:mergeCells>
  <x:conditionalFormatting sqref="F5:F24">
    <x:cfRule type="cellIs" dxfId="6" priority="1" operator="lessThan">
      <x:formula>0</x:formula>
    </x:cfRule>
  </x:conditionalFormatting>
  <x:dataValidations count="2">
    <x:dataValidation type="list" sqref="B5:B24">
      <x:formula1>Settings!$A$2:$A$11</x:formula1>
    </x:dataValidation>
    <x:dataValidation type="list" sqref="G5:G24">
      <x:formula1>Settings!$C$2:$C$3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2" hidden="0" customWidth="1"/>
    <x:col min="7" max="7" width="18" hidden="0" customWidth="1"/>
  </x:cols>
  <x:sheetData>
    <x:row r="1" ht="28" hidden="0" customHeight="1">
      <x:c r="A1" s="867" t="str">
        <x:v>Savings Goals</x:v>
      </x:c>
      <x:c r="B1" s="867"/>
      <x:c r="C1" s="867"/>
      <x:c r="D1" s="867"/>
      <x:c r="E1" s="867"/>
      <x:c r="F1" s="867"/>
      <x:c r="G1" s="867"/>
      <x:c r="H1" s="315"/>
      <x:c r="I1" s="315"/>
      <x:c r="J1" s="315"/>
      <x:c r="K1" s="315"/>
    </x:row>
    <x:row r="2" ht="20" hidden="0" customHeight="1">
      <x:c r="A2" s="838" t="str">
        <x:v>Savings goals, progress and monthly contributions.</x:v>
      </x:c>
      <x:c r="B2" s="873"/>
      <x:c r="C2" s="873"/>
      <x:c r="D2" s="873"/>
      <x:c r="E2" s="873"/>
      <x:c r="F2" s="873"/>
      <x:c r="G2" s="873"/>
      <x:c r="H2" s="315"/>
      <x:c r="I2" s="315"/>
      <x:c r="J2" s="315"/>
      <x:c r="K2" s="315"/>
    </x:row>
    <x:row r="3" ht="15" hidden="0" customHeight="1">
      <x:c r="A3" s="315"/>
      <x:c r="B3" s="315"/>
      <x:c r="C3" s="315"/>
      <x:c r="D3" s="315"/>
      <x:c r="E3" s="315"/>
      <x:c r="F3" s="315"/>
      <x:c r="G3" s="315"/>
      <x:c r="H3" s="315"/>
      <x:c r="I3" s="315"/>
      <x:c r="J3" s="315"/>
      <x:c r="K3" s="315"/>
    </x:row>
    <x:row r="4" ht="22" hidden="0" customHeight="1">
      <x:c r="A4" s="955" t="str">
        <x:v>Goal</x:v>
      </x:c>
      <x:c r="B4" s="955" t="str">
        <x:v>Target Amount</x:v>
      </x:c>
      <x:c r="C4" s="955" t="str">
        <x:v>Saved</x:v>
      </x:c>
      <x:c r="D4" s="955" t="str">
        <x:v>Monthly Contribution</x:v>
      </x:c>
      <x:c r="E4" s="955" t="str">
        <x:v>Remaining</x:v>
      </x:c>
      <x:c r="F4" s="955" t="str">
        <x:v>Progress</x:v>
      </x:c>
      <x:c r="G4" s="955" t="str">
        <x:v>Status</x:v>
      </x:c>
      <x:c r="H4" s="315"/>
      <x:c r="I4" s="315"/>
      <x:c r="J4" s="315"/>
      <x:c r="K4" s="315"/>
    </x:row>
    <x:row r="5" ht="21" hidden="0" customHeight="1">
      <x:c r="A5" s="777" t="str">
        <x:v>Emergency Fund</x:v>
      </x:c>
      <x:c r="B5" s="966" t="n">
        <x:v>3000</x:v>
      </x:c>
      <x:c r="C5" s="966" t="n">
        <x:v>850</x:v>
      </x:c>
      <x:c r="D5" s="966" t="n">
        <x:v>250</x:v>
      </x:c>
      <x:c r="E5" s="966" t="n">
        <x:f>MAX(B5-C5,0)</x:f>
        <x:v>2150</x:v>
      </x:c>
      <x:c r="F5" s="967" t="n">
        <x:f>IFERROR(C5/B5,0)</x:f>
        <x:v>0.2833333333333333</x:v>
      </x:c>
      <x:c r="G5" s="968" t="str">
        <x:f>IF(F5&gt;=1,"Goal reached",IF(D5&gt;=E5/3,"On track","Needs attention"))</x:f>
        <x:v>Needs attention</x:v>
      </x:c>
      <x:c r="H5" s="315"/>
      <x:c r="I5" s="315"/>
      <x:c r="J5" s="315"/>
      <x:c r="K5" s="315"/>
    </x:row>
    <x:row r="6" ht="21" hidden="0" customHeight="1">
      <x:c r="A6" s="777" t="str">
        <x:v>Laptop / Equipment</x:v>
      </x:c>
      <x:c r="B6" s="966" t="n">
        <x:v>1500</x:v>
      </x:c>
      <x:c r="C6" s="966" t="n">
        <x:v>420</x:v>
      </x:c>
      <x:c r="D6" s="966" t="n">
        <x:v>120</x:v>
      </x:c>
      <x:c r="E6" s="966" t="n">
        <x:f>MAX(B6-C6,0)</x:f>
        <x:v>1080</x:v>
      </x:c>
      <x:c r="F6" s="967" t="n">
        <x:f>IFERROR(C6/B6,0)</x:f>
        <x:v>0.28</x:v>
      </x:c>
      <x:c r="G6" s="968" t="str">
        <x:f>IF(F6&gt;=1,"Goal reached",IF(D6&gt;=E6/3,"On track","Needs attention"))</x:f>
        <x:v>Needs attention</x:v>
      </x:c>
      <x:c r="H6" s="315"/>
      <x:c r="I6" s="315"/>
      <x:c r="J6" s="315"/>
      <x:c r="K6" s="315"/>
    </x:row>
    <x:row r="7" ht="21" hidden="0" customHeight="1">
      <x:c r="A7" s="777" t="str">
        <x:v>Vacation</x:v>
      </x:c>
      <x:c r="B7" s="966" t="n">
        <x:v>1200</x:v>
      </x:c>
      <x:c r="C7" s="966" t="n">
        <x:v>300</x:v>
      </x:c>
      <x:c r="D7" s="966" t="n">
        <x:v>100</x:v>
      </x:c>
      <x:c r="E7" s="966" t="n">
        <x:f>MAX(B7-C7,0)</x:f>
        <x:v>900</x:v>
      </x:c>
      <x:c r="F7" s="967" t="n">
        <x:f>IFERROR(C7/B7,0)</x:f>
        <x:v>0.25</x:v>
      </x:c>
      <x:c r="G7" s="968" t="str">
        <x:f>IF(F7&gt;=1,"Goal reached",IF(D7&gt;=E7/3,"On track","Needs attention"))</x:f>
        <x:v>Needs attention</x:v>
      </x:c>
      <x:c r="H7" s="315"/>
      <x:c r="I7" s="315"/>
      <x:c r="J7" s="315"/>
      <x:c r="K7" s="315"/>
    </x:row>
    <x:row r="8" ht="21" hidden="0" customHeight="1">
      <x:c r="A8" s="777" t="str">
        <x:v>Investment account</x:v>
      </x:c>
      <x:c r="B8" s="966" t="n">
        <x:v>5000</x:v>
      </x:c>
      <x:c r="C8" s="966" t="n">
        <x:v>1100</x:v>
      </x:c>
      <x:c r="D8" s="966" t="n">
        <x:v>250</x:v>
      </x:c>
      <x:c r="E8" s="966" t="n">
        <x:f>MAX(B8-C8,0)</x:f>
        <x:v>3900</x:v>
      </x:c>
      <x:c r="F8" s="967" t="n">
        <x:f>IFERROR(C8/B8,0)</x:f>
        <x:v>0.22</x:v>
      </x:c>
      <x:c r="G8" s="968" t="str">
        <x:f>IF(F8&gt;=1,"Goal reached",IF(D8&gt;=E8/3,"On track","Needs attention"))</x:f>
        <x:v>Needs attention</x:v>
      </x:c>
      <x:c r="H8" s="315"/>
      <x:c r="I8" s="315"/>
      <x:c r="J8" s="315"/>
      <x:c r="K8" s="315"/>
    </x:row>
    <x:row r="9" ht="21" hidden="0" customHeight="1">
      <x:c r="A9" s="777" t="str">
        <x:v>Course / Education</x:v>
      </x:c>
      <x:c r="B9" s="966" t="n">
        <x:v>600</x:v>
      </x:c>
      <x:c r="C9" s="966" t="n">
        <x:v>150</x:v>
      </x:c>
      <x:c r="D9" s="966" t="n">
        <x:v>80</x:v>
      </x:c>
      <x:c r="E9" s="966" t="n">
        <x:f>MAX(B9-C9,0)</x:f>
        <x:v>450</x:v>
      </x:c>
      <x:c r="F9" s="967" t="n">
        <x:f>IFERROR(C9/B9,0)</x:f>
        <x:v>0.25</x:v>
      </x:c>
      <x:c r="G9" s="968" t="str">
        <x:f>IF(F9&gt;=1,"Goal reached",IF(D9&gt;=E9/3,"On track","Needs attention"))</x:f>
        <x:v>Needs attention</x:v>
      </x:c>
      <x:c r="H9" s="315"/>
      <x:c r="I9" s="315"/>
      <x:c r="J9" s="315"/>
      <x:c r="K9" s="315"/>
    </x:row>
    <x:row r="10" ht="21" hidden="0" customHeight="1">
      <x:c r="A10" s="777"/>
      <x:c r="B10" s="966"/>
      <x:c r="C10" s="966"/>
      <x:c r="D10" s="966"/>
      <x:c r="E10" s="966" t="n">
        <x:f>MAX(B10-C10,0)</x:f>
        <x:v>0</x:v>
      </x:c>
      <x:c r="F10" s="967" t="n">
        <x:f>IFERROR(C10/B10,0)</x:f>
        <x:v>0</x:v>
      </x:c>
      <x:c r="G10" s="968" t="str">
        <x:f>IF(F10&gt;=1,"Goal reached",IF(D10&gt;=E10/3,"On track","Needs attention"))</x:f>
        <x:v>On track</x:v>
      </x:c>
      <x:c r="H10" s="315"/>
      <x:c r="I10" s="315"/>
      <x:c r="J10" s="315"/>
      <x:c r="K10" s="315"/>
    </x:row>
    <x:row r="11" ht="21" hidden="0" customHeight="1">
      <x:c r="A11" s="777"/>
      <x:c r="B11" s="966"/>
      <x:c r="C11" s="966"/>
      <x:c r="D11" s="966"/>
      <x:c r="E11" s="966" t="n">
        <x:f>MAX(B11-C11,0)</x:f>
        <x:v>0</x:v>
      </x:c>
      <x:c r="F11" s="967" t="n">
        <x:f>IFERROR(C11/B11,0)</x:f>
        <x:v>0</x:v>
      </x:c>
      <x:c r="G11" s="968" t="str">
        <x:f>IF(F11&gt;=1,"Goal reached",IF(D11&gt;=E11/3,"On track","Needs attention"))</x:f>
        <x:v>On track</x:v>
      </x:c>
      <x:c r="H11" s="315"/>
      <x:c r="I11" s="315"/>
      <x:c r="J11" s="315"/>
      <x:c r="K11" s="315"/>
    </x:row>
    <x:row r="12" ht="21" hidden="0" customHeight="1">
      <x:c r="A12" s="777"/>
      <x:c r="B12" s="966"/>
      <x:c r="C12" s="966"/>
      <x:c r="D12" s="966"/>
      <x:c r="E12" s="966" t="n">
        <x:f>MAX(B12-C12,0)</x:f>
        <x:v>0</x:v>
      </x:c>
      <x:c r="F12" s="967" t="n">
        <x:f>IFERROR(C12/B12,0)</x:f>
        <x:v>0</x:v>
      </x:c>
      <x:c r="G12" s="968" t="str">
        <x:f>IF(F12&gt;=1,"Goal reached",IF(D12&gt;=E12/3,"On track","Needs attention"))</x:f>
        <x:v>On track</x:v>
      </x:c>
      <x:c r="H12" s="315"/>
      <x:c r="I12" s="315"/>
      <x:c r="J12" s="315"/>
      <x:c r="K12" s="315"/>
    </x:row>
    <x:row r="13" ht="21" hidden="0" customHeight="1">
      <x:c r="A13" s="777"/>
      <x:c r="B13" s="966"/>
      <x:c r="C13" s="966"/>
      <x:c r="D13" s="966"/>
      <x:c r="E13" s="966" t="n">
        <x:f>MAX(B13-C13,0)</x:f>
        <x:v>0</x:v>
      </x:c>
      <x:c r="F13" s="967" t="n">
        <x:f>IFERROR(C13/B13,0)</x:f>
        <x:v>0</x:v>
      </x:c>
      <x:c r="G13" s="968" t="str">
        <x:f>IF(F13&gt;=1,"Goal reached",IF(D13&gt;=E13/3,"On track","Needs attention"))</x:f>
        <x:v>On track</x:v>
      </x:c>
      <x:c r="H13" s="315"/>
      <x:c r="I13" s="315"/>
      <x:c r="J13" s="315"/>
      <x:c r="K13" s="315"/>
    </x:row>
    <x:row r="14" ht="21" hidden="0" customHeight="1">
      <x:c r="A14" s="814"/>
      <x:c r="B14" s="973"/>
      <x:c r="C14" s="973"/>
      <x:c r="D14" s="973"/>
      <x:c r="E14" s="969" t="n">
        <x:f>MAX(B14-C14,0)</x:f>
        <x:v>0</x:v>
      </x:c>
      <x:c r="F14" s="970" t="n">
        <x:f>IFERROR(C14/B14,0)</x:f>
        <x:v>0</x:v>
      </x:c>
      <x:c r="G14" s="971" t="str">
        <x:f>IF(F14&gt;=1,"Goal reached",IF(D14&gt;=E14/3,"On track","Needs attention"))</x:f>
        <x:v>On track</x:v>
      </x:c>
      <x:c r="H14" s="315"/>
      <x:c r="I14" s="315"/>
      <x:c r="J14" s="315"/>
      <x:c r="K14" s="315"/>
    </x:row>
    <x:row r="15" ht="15" hidden="0" customHeight="1">
      <x:c r="A15" s="315"/>
      <x:c r="B15" s="724"/>
      <x:c r="C15" s="724"/>
      <x:c r="D15" s="724"/>
      <x:c r="E15" s="724"/>
      <x:c r="F15" s="731"/>
      <x:c r="G15" s="315"/>
      <x:c r="H15" s="315"/>
      <x:c r="I15" s="315"/>
      <x:c r="J15" s="315"/>
      <x:c r="K15" s="315"/>
    </x:row>
    <x:row r="16" ht="15" hidden="0" customHeight="1">
      <x:c r="A16" s="573" t="str">
        <x:v>Savings Summary</x:v>
      </x:c>
      <x:c r="B16" s="726"/>
      <x:c r="C16" s="726"/>
      <x:c r="D16" s="722"/>
      <x:c r="E16" s="722"/>
      <x:c r="F16" s="729"/>
      <x:c r="G16" s="699"/>
      <x:c r="H16" s="315"/>
      <x:c r="I16" s="315"/>
      <x:c r="J16" s="315"/>
      <x:c r="K16" s="315"/>
    </x:row>
    <x:row r="17" ht="15" hidden="0" customHeight="1">
      <x:c r="A17" s="644" t="str">
        <x:v>Total goal amount</x:v>
      </x:c>
      <x:c r="B17" s="706" t="n">
        <x:f>SUM(B5:B14)</x:f>
        <x:v>11300</x:v>
      </x:c>
      <x:c r="C17" s="724"/>
      <x:c r="D17" s="724"/>
      <x:c r="E17" s="724"/>
      <x:c r="F17" s="731"/>
      <x:c r="G17" s="315"/>
      <x:c r="H17" s="315"/>
      <x:c r="I17" s="315"/>
      <x:c r="J17" s="315"/>
      <x:c r="K17" s="315"/>
    </x:row>
    <x:row r="18" ht="15" hidden="0" customHeight="1">
      <x:c r="A18" s="644" t="str">
        <x:v>Total saved</x:v>
      </x:c>
      <x:c r="B18" s="706" t="n">
        <x:f>SUM(C5:C14)</x:f>
        <x:v>2820</x:v>
      </x:c>
      <x:c r="C18" s="724"/>
      <x:c r="D18" s="724"/>
      <x:c r="E18" s="724"/>
      <x:c r="F18" s="731"/>
      <x:c r="G18" s="315"/>
      <x:c r="H18" s="315"/>
      <x:c r="I18" s="315"/>
      <x:c r="J18" s="315"/>
      <x:c r="K18" s="315"/>
    </x:row>
    <x:row r="19" ht="15" hidden="0" customHeight="1">
      <x:c r="A19" s="644" t="str">
        <x:v>Monthly contributions</x:v>
      </x:c>
      <x:c r="B19" s="706" t="n">
        <x:f>SUM(D5:D14)</x:f>
        <x:v>800</x:v>
      </x:c>
      <x:c r="C19" s="724"/>
      <x:c r="D19" s="724"/>
      <x:c r="E19" s="724"/>
      <x:c r="F19" s="731"/>
      <x:c r="G19" s="315"/>
      <x:c r="H19" s="315"/>
      <x:c r="I19" s="315"/>
      <x:c r="J19" s="315"/>
      <x:c r="K19" s="315"/>
    </x:row>
    <x:row r="20" ht="15" hidden="0" customHeight="1">
      <x:c r="A20" s="644" t="str">
        <x:v>Overall progress</x:v>
      </x:c>
      <x:c r="B20" s="727" t="n">
        <x:f>IFERROR(B18/B17,0)</x:f>
        <x:v>0.24955752212389382</x:v>
      </x:c>
      <x:c r="C20" s="724"/>
      <x:c r="D20" s="724"/>
      <x:c r="E20" s="724"/>
      <x:c r="F20" s="731"/>
      <x:c r="G20" s="315"/>
      <x:c r="H20" s="315"/>
      <x:c r="I20" s="315"/>
      <x:c r="J20" s="315"/>
      <x:c r="K20" s="315"/>
    </x:row>
    <x:row r="21" ht="15" hidden="0" customHeight="1">
      <x:c r="A21" s="315"/>
      <x:c r="B21" s="315"/>
      <x:c r="C21" s="315"/>
      <x:c r="D21" s="315"/>
      <x:c r="E21" s="315"/>
      <x:c r="F21" s="315"/>
      <x:c r="G21" s="315"/>
      <x:c r="H21" s="315"/>
      <x:c r="I21" s="315"/>
      <x:c r="J21" s="315"/>
      <x:c r="K21" s="315"/>
    </x:row>
    <x:row r="22" ht="15" hidden="0" customHeight="1">
      <x:c r="A22" s="315"/>
      <x:c r="B22" s="315"/>
      <x:c r="C22" s="315"/>
      <x:c r="D22" s="315"/>
      <x:c r="E22" s="315"/>
      <x:c r="F22" s="315"/>
      <x:c r="G22" s="315"/>
      <x:c r="H22" s="315"/>
      <x:c r="I22" s="315"/>
      <x:c r="J22" s="315"/>
      <x:c r="K22" s="315"/>
    </x:row>
    <x:row r="23" ht="15" hidden="0" customHeight="1">
      <x:c r="A23" s="315"/>
      <x:c r="B23" s="315"/>
      <x:c r="C23" s="315"/>
      <x:c r="D23" s="315"/>
      <x:c r="E23" s="315"/>
      <x:c r="F23" s="315"/>
      <x:c r="G23" s="315"/>
      <x:c r="H23" s="315"/>
      <x:c r="I23" s="315"/>
      <x:c r="J23" s="315"/>
      <x:c r="K23" s="315"/>
    </x:row>
    <x:row r="24" ht="15" hidden="0" customHeight="1">
      <x:c r="A24" s="315"/>
      <x:c r="B24" s="315"/>
      <x:c r="C24" s="315"/>
      <x:c r="D24" s="315"/>
      <x:c r="E24" s="315"/>
      <x:c r="F24" s="315"/>
      <x:c r="G24" s="315"/>
      <x:c r="H24" s="315"/>
      <x:c r="I24" s="315"/>
      <x:c r="J24" s="315"/>
      <x:c r="K24" s="315"/>
    </x:row>
    <x:row r="25" ht="15" hidden="0" customHeight="1">
      <x:c r="A25" s="315"/>
      <x:c r="B25" s="315"/>
      <x:c r="C25" s="315"/>
      <x:c r="D25" s="315"/>
      <x:c r="E25" s="315"/>
      <x:c r="F25" s="315"/>
      <x:c r="G25" s="315"/>
      <x:c r="H25" s="315"/>
      <x:c r="I25" s="315"/>
      <x:c r="J25" s="315"/>
      <x:c r="K25" s="315"/>
    </x:row>
    <x:row r="26" ht="15" hidden="0" customHeight="1">
      <x:c r="A26" s="315"/>
      <x:c r="B26" s="315"/>
      <x:c r="C26" s="315"/>
      <x:c r="D26" s="315"/>
      <x:c r="E26" s="315"/>
      <x:c r="F26" s="315"/>
      <x:c r="G26" s="315"/>
      <x:c r="H26" s="315"/>
      <x:c r="I26" s="315"/>
      <x:c r="J26" s="315"/>
      <x:c r="K26" s="315"/>
    </x:row>
    <x:row r="27" ht="15" hidden="0" customHeight="1">
      <x:c r="A27" s="315"/>
      <x:c r="B27" s="315"/>
      <x:c r="C27" s="315"/>
      <x:c r="D27" s="315"/>
      <x:c r="E27" s="315"/>
      <x:c r="F27" s="315"/>
      <x:c r="G27" s="315"/>
      <x:c r="H27" s="315"/>
      <x:c r="I27" s="315"/>
      <x:c r="J27" s="315"/>
      <x:c r="K27" s="315"/>
    </x:row>
    <x:row r="28" ht="15" hidden="0" customHeight="1">
      <x:c r="A28" s="315"/>
      <x:c r="B28" s="315"/>
      <x:c r="C28" s="315"/>
      <x:c r="D28" s="315"/>
      <x:c r="E28" s="315"/>
      <x:c r="F28" s="315"/>
      <x:c r="G28" s="315"/>
      <x:c r="H28" s="315"/>
      <x:c r="I28" s="315"/>
      <x:c r="J28" s="315"/>
      <x:c r="K28" s="315"/>
    </x:row>
    <x:row r="29" ht="15" hidden="0" customHeight="1">
      <x:c r="A29" s="315"/>
      <x:c r="B29" s="315"/>
      <x:c r="C29" s="315"/>
      <x:c r="D29" s="315"/>
      <x:c r="E29" s="315"/>
      <x:c r="F29" s="315"/>
      <x:c r="G29" s="315"/>
      <x:c r="H29" s="315"/>
      <x:c r="I29" s="315"/>
      <x:c r="J29" s="315"/>
      <x:c r="K29" s="315"/>
    </x:row>
    <x:row r="30" ht="15" hidden="0" customHeight="1">
      <x:c r="A30" s="315"/>
      <x:c r="B30" s="315"/>
      <x:c r="C30" s="315"/>
      <x:c r="D30" s="315"/>
      <x:c r="E30" s="315"/>
      <x:c r="F30" s="315"/>
      <x:c r="G30" s="315"/>
      <x:c r="H30" s="315"/>
      <x:c r="I30" s="315"/>
      <x:c r="J30" s="315"/>
      <x:c r="K30" s="315"/>
    </x:row>
    <x:row r="31" ht="15" hidden="0" customHeight="1">
      <x:c r="A31" s="315"/>
      <x:c r="B31" s="315"/>
      <x:c r="C31" s="315"/>
      <x:c r="D31" s="315"/>
      <x:c r="E31" s="315"/>
      <x:c r="F31" s="315"/>
      <x:c r="G31" s="315"/>
      <x:c r="H31" s="315"/>
      <x:c r="I31" s="315"/>
      <x:c r="J31" s="315"/>
      <x:c r="K31" s="315"/>
    </x:row>
    <x:row r="32" ht="15" hidden="0" customHeight="1">
      <x:c r="A32" s="315"/>
      <x:c r="B32" s="315"/>
      <x:c r="C32" s="315"/>
      <x:c r="D32" s="315"/>
      <x:c r="E32" s="315"/>
      <x:c r="F32" s="315"/>
      <x:c r="G32" s="315"/>
      <x:c r="H32" s="315"/>
      <x:c r="I32" s="315"/>
      <x:c r="J32" s="315"/>
      <x:c r="K32" s="315"/>
    </x:row>
    <x:row r="33" ht="15" hidden="0" customHeight="1">
      <x:c r="A33" s="315"/>
      <x:c r="B33" s="315"/>
      <x:c r="C33" s="315"/>
      <x:c r="D33" s="315"/>
      <x:c r="E33" s="315"/>
      <x:c r="F33" s="315"/>
      <x:c r="G33" s="315"/>
      <x:c r="H33" s="315"/>
      <x:c r="I33" s="315"/>
      <x:c r="J33" s="315"/>
      <x:c r="K33" s="315"/>
    </x:row>
    <x:row r="34" ht="15" hidden="0" customHeight="1">
      <x:c r="A34" s="315"/>
      <x:c r="B34" s="315"/>
      <x:c r="C34" s="315"/>
      <x:c r="D34" s="315"/>
      <x:c r="E34" s="315"/>
      <x:c r="F34" s="315"/>
      <x:c r="G34" s="315"/>
      <x:c r="H34" s="315"/>
      <x:c r="I34" s="315"/>
      <x:c r="J34" s="315"/>
      <x:c r="K34" s="315"/>
    </x:row>
    <x:row r="35" ht="15" hidden="0" customHeight="1">
      <x:c r="A35" s="315"/>
      <x:c r="B35" s="315"/>
      <x:c r="C35" s="315"/>
      <x:c r="D35" s="315"/>
      <x:c r="E35" s="315"/>
      <x:c r="F35" s="315"/>
      <x:c r="G35" s="315"/>
      <x:c r="H35" s="315"/>
      <x:c r="I35" s="315"/>
      <x:c r="J35" s="315"/>
      <x:c r="K35" s="315"/>
    </x:row>
    <x:row r="36" ht="15" hidden="0" customHeight="1">
      <x:c r="A36" s="315"/>
      <x:c r="B36" s="315"/>
      <x:c r="C36" s="315"/>
      <x:c r="D36" s="315"/>
      <x:c r="E36" s="315"/>
      <x:c r="F36" s="315"/>
      <x:c r="G36" s="315"/>
      <x:c r="H36" s="315"/>
      <x:c r="I36" s="315"/>
      <x:c r="J36" s="315"/>
      <x:c r="K36" s="315"/>
    </x:row>
    <x:row r="37" ht="15" hidden="0" customHeight="1">
      <x:c r="A37" s="315"/>
      <x:c r="B37" s="315"/>
      <x:c r="C37" s="315"/>
      <x:c r="D37" s="315"/>
      <x:c r="E37" s="315"/>
      <x:c r="F37" s="315"/>
      <x:c r="G37" s="315"/>
      <x:c r="H37" s="315"/>
      <x:c r="I37" s="315"/>
      <x:c r="J37" s="315"/>
      <x:c r="K37" s="315"/>
    </x:row>
    <x:row r="38" ht="15" hidden="0" customHeight="1">
      <x:c r="A38" s="315"/>
      <x:c r="B38" s="315"/>
      <x:c r="C38" s="315"/>
      <x:c r="D38" s="315"/>
      <x:c r="E38" s="315"/>
      <x:c r="F38" s="315"/>
      <x:c r="G38" s="315"/>
      <x:c r="H38" s="315"/>
      <x:c r="I38" s="315"/>
      <x:c r="J38" s="315"/>
      <x:c r="K38" s="315"/>
    </x:row>
    <x:row r="39" ht="15" hidden="0" customHeight="1">
      <x:c r="A39" s="315"/>
      <x:c r="B39" s="315"/>
      <x:c r="C39" s="315"/>
      <x:c r="D39" s="315"/>
      <x:c r="E39" s="315"/>
      <x:c r="F39" s="315"/>
      <x:c r="G39" s="315"/>
      <x:c r="H39" s="315"/>
      <x:c r="I39" s="315"/>
      <x:c r="J39" s="315"/>
      <x:c r="K39" s="315"/>
    </x:row>
    <x:row r="40" ht="15" hidden="0" customHeight="1">
      <x:c r="A40" s="315"/>
      <x:c r="B40" s="315"/>
      <x:c r="C40" s="315"/>
      <x:c r="D40" s="315"/>
      <x:c r="E40" s="315"/>
      <x:c r="F40" s="315"/>
      <x:c r="G40" s="315"/>
      <x:c r="H40" s="315"/>
      <x:c r="I40" s="315"/>
      <x:c r="J40" s="315"/>
      <x:c r="K40" s="315"/>
    </x:row>
    <x:row r="41" ht="15" hidden="0" customHeight="1">
      <x:c r="A41" s="315"/>
      <x:c r="B41" s="315"/>
      <x:c r="C41" s="315"/>
      <x:c r="D41" s="315"/>
      <x:c r="E41" s="315"/>
      <x:c r="F41" s="315"/>
      <x:c r="G41" s="315"/>
      <x:c r="H41" s="315"/>
      <x:c r="I41" s="315"/>
      <x:c r="J41" s="315"/>
      <x:c r="K41" s="315"/>
    </x:row>
    <x:row r="42" ht="15" hidden="0" customHeight="1">
      <x:c r="A42" s="315"/>
      <x:c r="B42" s="315"/>
      <x:c r="C42" s="315"/>
      <x:c r="D42" s="315"/>
      <x:c r="E42" s="315"/>
      <x:c r="F42" s="315"/>
      <x:c r="G42" s="315"/>
      <x:c r="H42" s="315"/>
      <x:c r="I42" s="315"/>
      <x:c r="J42" s="315"/>
      <x:c r="K42" s="315"/>
    </x:row>
    <x:row r="43" ht="15" hidden="0" customHeight="1">
      <x:c r="A43" s="315"/>
      <x:c r="B43" s="315"/>
      <x:c r="C43" s="315"/>
      <x:c r="D43" s="315"/>
      <x:c r="E43" s="315"/>
      <x:c r="F43" s="315"/>
      <x:c r="G43" s="315"/>
      <x:c r="H43" s="315"/>
      <x:c r="I43" s="315"/>
      <x:c r="J43" s="315"/>
      <x:c r="K43" s="315"/>
    </x:row>
    <x:row r="44" ht="15" hidden="0" customHeight="1">
      <x:c r="A44" s="315"/>
      <x:c r="B44" s="315"/>
      <x:c r="C44" s="315"/>
      <x:c r="D44" s="315"/>
      <x:c r="E44" s="315"/>
      <x:c r="F44" s="315"/>
      <x:c r="G44" s="315"/>
      <x:c r="H44" s="315"/>
      <x:c r="I44" s="315"/>
      <x:c r="J44" s="315"/>
      <x:c r="K44" s="315"/>
    </x:row>
    <x:row r="45" ht="15" hidden="0" customHeight="1">
      <x:c r="A45" s="315"/>
      <x:c r="B45" s="315"/>
      <x:c r="C45" s="315"/>
      <x:c r="D45" s="315"/>
      <x:c r="E45" s="315"/>
      <x:c r="F45" s="315"/>
      <x:c r="G45" s="315"/>
      <x:c r="H45" s="315"/>
      <x:c r="I45" s="315"/>
      <x:c r="J45" s="315"/>
      <x:c r="K45" s="315"/>
    </x:row>
    <x:row r="46" ht="15" hidden="0" customHeight="1">
      <x:c r="A46" s="315"/>
      <x:c r="B46" s="315"/>
      <x:c r="C46" s="315"/>
      <x:c r="D46" s="315"/>
      <x:c r="E46" s="315"/>
      <x:c r="F46" s="315"/>
      <x:c r="G46" s="315"/>
      <x:c r="H46" s="315"/>
      <x:c r="I46" s="315"/>
      <x:c r="J46" s="315"/>
      <x:c r="K46" s="315"/>
    </x:row>
    <x:row r="47" ht="15" hidden="0" customHeight="1">
      <x:c r="A47" s="315"/>
      <x:c r="B47" s="315"/>
      <x:c r="C47" s="315"/>
      <x:c r="D47" s="315"/>
      <x:c r="E47" s="315"/>
      <x:c r="F47" s="315"/>
      <x:c r="G47" s="315"/>
      <x:c r="H47" s="315"/>
      <x:c r="I47" s="315"/>
      <x:c r="J47" s="315"/>
      <x:c r="K47" s="315"/>
    </x:row>
    <x:row r="48" ht="15" hidden="0" customHeight="1">
      <x:c r="A48" s="315"/>
      <x:c r="B48" s="315"/>
      <x:c r="C48" s="315"/>
      <x:c r="D48" s="315"/>
      <x:c r="E48" s="315"/>
      <x:c r="F48" s="315"/>
      <x:c r="G48" s="315"/>
      <x:c r="H48" s="315"/>
      <x:c r="I48" s="315"/>
      <x:c r="J48" s="315"/>
      <x:c r="K48" s="315"/>
    </x:row>
    <x:row r="49" ht="15" hidden="0" customHeight="1">
      <x:c r="A49" s="315"/>
      <x:c r="B49" s="315"/>
      <x:c r="C49" s="315"/>
      <x:c r="D49" s="315"/>
      <x:c r="E49" s="315"/>
      <x:c r="F49" s="315"/>
      <x:c r="G49" s="315"/>
      <x:c r="H49" s="315"/>
      <x:c r="I49" s="315"/>
      <x:c r="J49" s="315"/>
      <x:c r="K49" s="315"/>
    </x:row>
    <x:row r="50" ht="15" hidden="0" customHeight="1">
      <x:c r="A50" s="315"/>
      <x:c r="B50" s="315"/>
      <x:c r="C50" s="315"/>
      <x:c r="D50" s="315"/>
      <x:c r="E50" s="315"/>
      <x:c r="F50" s="315"/>
      <x:c r="G50" s="315"/>
      <x:c r="H50" s="315"/>
      <x:c r="I50" s="315"/>
      <x:c r="J50" s="315"/>
      <x:c r="K50" s="315"/>
    </x:row>
    <x:row r="51" ht="15" hidden="0" customHeight="1">
      <x:c r="A51" s="315"/>
      <x:c r="B51" s="315"/>
      <x:c r="C51" s="315"/>
      <x:c r="D51" s="315"/>
      <x:c r="E51" s="315"/>
      <x:c r="F51" s="315"/>
      <x:c r="G51" s="315"/>
      <x:c r="H51" s="315"/>
      <x:c r="I51" s="315"/>
      <x:c r="J51" s="315"/>
      <x:c r="K51" s="315"/>
    </x:row>
    <x:row r="52" ht="15" hidden="0" customHeight="1">
      <x:c r="A52" s="315"/>
      <x:c r="B52" s="315"/>
      <x:c r="C52" s="315"/>
      <x:c r="D52" s="315"/>
      <x:c r="E52" s="315"/>
      <x:c r="F52" s="315"/>
      <x:c r="G52" s="315"/>
      <x:c r="H52" s="315"/>
      <x:c r="I52" s="315"/>
      <x:c r="J52" s="315"/>
      <x:c r="K52" s="315"/>
    </x:row>
    <x:row r="53" ht="15" hidden="0" customHeight="1">
      <x:c r="A53" s="315"/>
      <x:c r="B53" s="315"/>
      <x:c r="C53" s="315"/>
      <x:c r="D53" s="315"/>
      <x:c r="E53" s="315"/>
      <x:c r="F53" s="315"/>
      <x:c r="G53" s="315"/>
      <x:c r="H53" s="315"/>
      <x:c r="I53" s="315"/>
      <x:c r="J53" s="315"/>
      <x:c r="K53" s="315"/>
    </x:row>
    <x:row r="54" ht="15" hidden="0" customHeight="1">
      <x:c r="A54" s="315"/>
      <x:c r="B54" s="315"/>
      <x:c r="C54" s="315"/>
      <x:c r="D54" s="315"/>
      <x:c r="E54" s="315"/>
      <x:c r="F54" s="315"/>
      <x:c r="G54" s="315"/>
      <x:c r="H54" s="315"/>
      <x:c r="I54" s="315"/>
      <x:c r="J54" s="315"/>
      <x:c r="K54" s="315"/>
    </x:row>
    <x:row r="55" ht="15" hidden="0" customHeight="1">
      <x:c r="A55" s="315"/>
      <x:c r="B55" s="315"/>
      <x:c r="C55" s="315"/>
      <x:c r="D55" s="315"/>
      <x:c r="E55" s="315"/>
      <x:c r="F55" s="315"/>
      <x:c r="G55" s="315"/>
      <x:c r="H55" s="315"/>
      <x:c r="I55" s="315"/>
      <x:c r="J55" s="315"/>
      <x:c r="K55" s="315"/>
    </x:row>
    <x:row r="56" ht="15" hidden="0" customHeight="1">
      <x:c r="A56" s="315"/>
      <x:c r="B56" s="315"/>
      <x:c r="C56" s="315"/>
      <x:c r="D56" s="315"/>
      <x:c r="E56" s="315"/>
      <x:c r="F56" s="315"/>
      <x:c r="G56" s="315"/>
      <x:c r="H56" s="315"/>
      <x:c r="I56" s="315"/>
      <x:c r="J56" s="315"/>
      <x:c r="K56" s="315"/>
    </x:row>
    <x:row r="57" ht="15" hidden="0" customHeight="1">
      <x:c r="A57" s="315"/>
      <x:c r="B57" s="315"/>
      <x:c r="C57" s="315"/>
      <x:c r="D57" s="315"/>
      <x:c r="E57" s="315"/>
      <x:c r="F57" s="315"/>
      <x:c r="G57" s="315"/>
      <x:c r="H57" s="315"/>
      <x:c r="I57" s="315"/>
      <x:c r="J57" s="315"/>
      <x:c r="K57" s="315"/>
    </x:row>
    <x:row r="58" ht="15" hidden="0" customHeight="1">
      <x:c r="A58" s="315"/>
      <x:c r="B58" s="315"/>
      <x:c r="C58" s="315"/>
      <x:c r="D58" s="315"/>
      <x:c r="E58" s="315"/>
      <x:c r="F58" s="315"/>
      <x:c r="G58" s="315"/>
      <x:c r="H58" s="315"/>
      <x:c r="I58" s="315"/>
      <x:c r="J58" s="315"/>
      <x:c r="K58" s="315"/>
    </x:row>
    <x:row r="59" ht="15" hidden="0" customHeight="1">
      <x:c r="A59" s="315"/>
      <x:c r="B59" s="315"/>
      <x:c r="C59" s="315"/>
      <x:c r="D59" s="315"/>
      <x:c r="E59" s="315"/>
      <x:c r="F59" s="315"/>
      <x:c r="G59" s="315"/>
      <x:c r="H59" s="315"/>
      <x:c r="I59" s="315"/>
      <x:c r="J59" s="315"/>
      <x:c r="K59" s="315"/>
    </x:row>
    <x:row r="60" ht="15" hidden="0" customHeight="1">
      <x:c r="A60" s="315"/>
      <x:c r="B60" s="315"/>
      <x:c r="C60" s="315"/>
      <x:c r="D60" s="315"/>
      <x:c r="E60" s="315"/>
      <x:c r="F60" s="315"/>
      <x:c r="G60" s="315"/>
      <x:c r="H60" s="315"/>
      <x:c r="I60" s="315"/>
      <x:c r="J60" s="315"/>
      <x:c r="K60" s="315"/>
    </x:row>
    <x:row r="61" ht="15" hidden="0" customHeight="1">
      <x:c r="A61" s="315"/>
      <x:c r="B61" s="315"/>
      <x:c r="C61" s="315"/>
      <x:c r="D61" s="315"/>
      <x:c r="E61" s="315"/>
      <x:c r="F61" s="315"/>
      <x:c r="G61" s="315"/>
      <x:c r="H61" s="315"/>
      <x:c r="I61" s="315"/>
      <x:c r="J61" s="315"/>
      <x:c r="K61" s="315"/>
    </x:row>
    <x:row r="62" ht="15" hidden="0" customHeight="1">
      <x:c r="A62" s="315"/>
      <x:c r="B62" s="315"/>
      <x:c r="C62" s="315"/>
      <x:c r="D62" s="315"/>
      <x:c r="E62" s="315"/>
      <x:c r="F62" s="315"/>
      <x:c r="G62" s="315"/>
      <x:c r="H62" s="315"/>
      <x:c r="I62" s="315"/>
      <x:c r="J62" s="315"/>
      <x:c r="K62" s="315"/>
    </x:row>
    <x:row r="63" ht="15" hidden="0" customHeight="1">
      <x:c r="A63" s="315"/>
      <x:c r="B63" s="315"/>
      <x:c r="C63" s="315"/>
      <x:c r="D63" s="315"/>
      <x:c r="E63" s="315"/>
      <x:c r="F63" s="315"/>
      <x:c r="G63" s="315"/>
      <x:c r="H63" s="315"/>
      <x:c r="I63" s="315"/>
      <x:c r="J63" s="315"/>
      <x:c r="K63" s="315"/>
    </x:row>
    <x:row r="64" ht="15" hidden="0" customHeight="1">
      <x:c r="A64" s="315"/>
      <x:c r="B64" s="315"/>
      <x:c r="C64" s="315"/>
      <x:c r="D64" s="315"/>
      <x:c r="E64" s="315"/>
      <x:c r="F64" s="315"/>
      <x:c r="G64" s="315"/>
      <x:c r="H64" s="315"/>
      <x:c r="I64" s="315"/>
      <x:c r="J64" s="315"/>
      <x:c r="K64" s="315"/>
    </x:row>
    <x:row r="65" ht="15" hidden="0" customHeight="1">
      <x:c r="A65" s="315"/>
      <x:c r="B65" s="315"/>
      <x:c r="C65" s="315"/>
      <x:c r="D65" s="315"/>
      <x:c r="E65" s="315"/>
      <x:c r="F65" s="315"/>
      <x:c r="G65" s="315"/>
      <x:c r="H65" s="315"/>
      <x:c r="I65" s="315"/>
      <x:c r="J65" s="315"/>
      <x:c r="K65" s="315"/>
    </x:row>
    <x:row r="66" ht="15" hidden="0" customHeight="1">
      <x:c r="A66" s="315"/>
      <x:c r="B66" s="315"/>
      <x:c r="C66" s="315"/>
      <x:c r="D66" s="315"/>
      <x:c r="E66" s="315"/>
      <x:c r="F66" s="315"/>
      <x:c r="G66" s="315"/>
      <x:c r="H66" s="315"/>
      <x:c r="I66" s="315"/>
      <x:c r="J66" s="315"/>
      <x:c r="K66" s="315"/>
    </x:row>
    <x:row r="67" ht="15" hidden="0" customHeight="1">
      <x:c r="A67" s="315"/>
      <x:c r="B67" s="315"/>
      <x:c r="C67" s="315"/>
      <x:c r="D67" s="315"/>
      <x:c r="E67" s="315"/>
      <x:c r="F67" s="315"/>
      <x:c r="G67" s="315"/>
      <x:c r="H67" s="315"/>
      <x:c r="I67" s="315"/>
      <x:c r="J67" s="315"/>
      <x:c r="K67" s="315"/>
    </x:row>
    <x:row r="68" ht="15" hidden="0" customHeight="1">
      <x:c r="A68" s="315"/>
      <x:c r="B68" s="315"/>
      <x:c r="C68" s="315"/>
      <x:c r="D68" s="315"/>
      <x:c r="E68" s="315"/>
      <x:c r="F68" s="315"/>
      <x:c r="G68" s="315"/>
      <x:c r="H68" s="315"/>
      <x:c r="I68" s="315"/>
      <x:c r="J68" s="315"/>
      <x:c r="K68" s="315"/>
    </x:row>
    <x:row r="69" ht="15" hidden="0" customHeight="1">
      <x:c r="A69" s="315"/>
      <x:c r="B69" s="315"/>
      <x:c r="C69" s="315"/>
      <x:c r="D69" s="315"/>
      <x:c r="E69" s="315"/>
      <x:c r="F69" s="315"/>
      <x:c r="G69" s="315"/>
      <x:c r="H69" s="315"/>
      <x:c r="I69" s="315"/>
      <x:c r="J69" s="315"/>
      <x:c r="K69" s="315"/>
    </x:row>
    <x:row r="70" ht="15" hidden="0" customHeight="1">
      <x:c r="A70" s="315"/>
      <x:c r="B70" s="315"/>
      <x:c r="C70" s="315"/>
      <x:c r="D70" s="315"/>
      <x:c r="E70" s="315"/>
      <x:c r="F70" s="315"/>
      <x:c r="G70" s="315"/>
      <x:c r="H70" s="315"/>
      <x:c r="I70" s="315"/>
      <x:c r="J70" s="315"/>
      <x:c r="K70" s="315"/>
    </x:row>
    <x:row r="71" ht="15" hidden="0" customHeight="1">
      <x:c r="A71" s="315"/>
      <x:c r="B71" s="315"/>
      <x:c r="C71" s="315"/>
      <x:c r="D71" s="315"/>
      <x:c r="E71" s="315"/>
      <x:c r="F71" s="315"/>
      <x:c r="G71" s="315"/>
      <x:c r="H71" s="315"/>
      <x:c r="I71" s="315"/>
      <x:c r="J71" s="315"/>
      <x:c r="K71" s="315"/>
    </x:row>
    <x:row r="72" ht="15" hidden="0" customHeight="1">
      <x:c r="A72" s="315"/>
      <x:c r="B72" s="315"/>
      <x:c r="C72" s="315"/>
      <x:c r="D72" s="315"/>
      <x:c r="E72" s="315"/>
      <x:c r="F72" s="315"/>
      <x:c r="G72" s="315"/>
      <x:c r="H72" s="315"/>
      <x:c r="I72" s="315"/>
      <x:c r="J72" s="315"/>
      <x:c r="K72" s="315"/>
    </x:row>
    <x:row r="73" ht="15" hidden="0" customHeight="1">
      <x:c r="A73" s="315"/>
      <x:c r="B73" s="315"/>
      <x:c r="C73" s="315"/>
      <x:c r="D73" s="315"/>
      <x:c r="E73" s="315"/>
      <x:c r="F73" s="315"/>
      <x:c r="G73" s="315"/>
      <x:c r="H73" s="315"/>
      <x:c r="I73" s="315"/>
      <x:c r="J73" s="315"/>
      <x:c r="K73" s="315"/>
    </x:row>
    <x:row r="74" ht="15" hidden="0" customHeight="1">
      <x:c r="A74" s="315"/>
      <x:c r="B74" s="315"/>
      <x:c r="C74" s="315"/>
      <x:c r="D74" s="315"/>
      <x:c r="E74" s="315"/>
      <x:c r="F74" s="315"/>
      <x:c r="G74" s="315"/>
      <x:c r="H74" s="315"/>
      <x:c r="I74" s="315"/>
      <x:c r="J74" s="315"/>
      <x:c r="K74" s="315"/>
    </x:row>
    <x:row r="75" ht="15" hidden="0" customHeight="1">
      <x:c r="A75" s="315"/>
      <x:c r="B75" s="315"/>
      <x:c r="C75" s="315"/>
      <x:c r="D75" s="315"/>
      <x:c r="E75" s="315"/>
      <x:c r="F75" s="315"/>
      <x:c r="G75" s="315"/>
      <x:c r="H75" s="315"/>
      <x:c r="I75" s="315"/>
      <x:c r="J75" s="315"/>
      <x:c r="K75" s="315"/>
    </x:row>
    <x:row r="76" ht="15" hidden="0" customHeight="1">
      <x:c r="A76" s="315"/>
      <x:c r="B76" s="315"/>
      <x:c r="C76" s="315"/>
      <x:c r="D76" s="315"/>
      <x:c r="E76" s="315"/>
      <x:c r="F76" s="315"/>
      <x:c r="G76" s="315"/>
      <x:c r="H76" s="315"/>
      <x:c r="I76" s="315"/>
      <x:c r="J76" s="315"/>
      <x:c r="K76" s="315"/>
    </x:row>
    <x:row r="77" ht="15" hidden="0" customHeight="1">
      <x:c r="A77" s="315"/>
      <x:c r="B77" s="315"/>
      <x:c r="C77" s="315"/>
      <x:c r="D77" s="315"/>
      <x:c r="E77" s="315"/>
      <x:c r="F77" s="315"/>
      <x:c r="G77" s="315"/>
      <x:c r="H77" s="315"/>
      <x:c r="I77" s="315"/>
      <x:c r="J77" s="315"/>
      <x:c r="K77" s="315"/>
    </x:row>
    <x:row r="78" ht="15" hidden="0" customHeight="1">
      <x:c r="A78" s="315"/>
      <x:c r="B78" s="315"/>
      <x:c r="C78" s="315"/>
      <x:c r="D78" s="315"/>
      <x:c r="E78" s="315"/>
      <x:c r="F78" s="315"/>
      <x:c r="G78" s="315"/>
      <x:c r="H78" s="315"/>
      <x:c r="I78" s="315"/>
      <x:c r="J78" s="315"/>
      <x:c r="K78" s="315"/>
    </x:row>
    <x:row r="79" ht="15" hidden="0" customHeight="1">
      <x:c r="A79" s="315"/>
      <x:c r="B79" s="315"/>
      <x:c r="C79" s="315"/>
      <x:c r="D79" s="315"/>
      <x:c r="E79" s="315"/>
      <x:c r="F79" s="315"/>
      <x:c r="G79" s="315"/>
      <x:c r="H79" s="315"/>
      <x:c r="I79" s="315"/>
      <x:c r="J79" s="315"/>
      <x:c r="K79" s="315"/>
    </x:row>
    <x:row r="80" ht="15" hidden="0" customHeight="1">
      <x:c r="A80" s="315"/>
      <x:c r="B80" s="315"/>
      <x:c r="C80" s="315"/>
      <x:c r="D80" s="315"/>
      <x:c r="E80" s="315"/>
      <x:c r="F80" s="315"/>
      <x:c r="G80" s="315"/>
      <x:c r="H80" s="315"/>
      <x:c r="I80" s="315"/>
      <x:c r="J80" s="315"/>
      <x:c r="K80" s="315"/>
    </x:row>
  </x:sheetData>
  <x:mergeCells>
    <x:mergeCell ref="A1:G1"/>
    <x:mergeCell ref="A2:G2"/>
    <x:mergeCell ref="A16:C16"/>
  </x:mergeCells>
  <x:conditionalFormatting sqref="G5:G14">
    <x:cfRule type="expression" dxfId="13" priority="1">
      <x:formula>G5="Viršytas biudžetas"</x:formula>
    </x:cfRule>
    <x:cfRule type="expression" dxfId="14" priority="2">
      <x:formula>G5="Reikia dėmesio"</x:formula>
    </x:cfRule>
    <x:cfRule type="expression" dxfId="15" priority="3">
      <x:formula>G5="Pagal planą"</x:formula>
    </x:cfRule>
    <x:cfRule type="expression" dxfId="16" priority="4">
      <x:formula>G5="Tikslas pasiektas"</x:formula>
    </x:cfRule>
  </x:conditionalFormatting>
  <x:conditionalFormatting sqref="F5:F14">
    <x:cfRule type="dataBar" priority="5">
      <x:dataBar>
        <x:cfvo type="min"/>
        <x:cfvo type="max"/>
        <x:color rgb="7E8F75"/>
      </x:dataBar>
      <x:extLst>
        <x:ext xmlns:x14="http://schemas.microsoft.com/office/spreadsheetml/2009/9/main" uri="{B025F937-C7B1-47D3-B67F-A62EFF666E3E}">
          <x14:id>{B4F164A3-9D25-8035-4B45-710D43590012}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B4F164A3-9D25-8035-4B45-710D43590012}">
            <x14:dataBar gradient="1">
              <x14:cfvo type="min"/>
              <x14:cfvo type="max"/>
              <x14:fillColor rgb="7E8F75"/>
            </x14:dataBar>
          </x14:cfRule>
          <xm:sqref>F5:F14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14" hidden="0" customWidth="1"/>
    <x:col min="6" max="6" width="20" hidden="0" customWidth="1"/>
    <x:col min="7" max="7" width="16" hidden="0" customWidth="1"/>
  </x:cols>
  <x:sheetData>
    <x:row r="1" ht="28" hidden="0" customHeight="1">
      <x:c r="A1" s="867" t="str">
        <x:v>Category Analysis</x:v>
      </x:c>
      <x:c r="B1" s="867"/>
      <x:c r="C1" s="867"/>
      <x:c r="D1" s="867"/>
      <x:c r="E1" s="867"/>
      <x:c r="F1" s="867"/>
      <x:c r="G1" s="315"/>
      <x:c r="H1" s="315"/>
      <x:c r="I1" s="315"/>
      <x:c r="J1" s="315"/>
      <x:c r="K1" s="315"/>
    </x:row>
    <x:row r="2" ht="20" hidden="0" customHeight="1">
      <x:c r="A2" s="838" t="str">
        <x:v>Automatic spending analysis by category.</x:v>
      </x:c>
      <x:c r="B2" s="873"/>
      <x:c r="C2" s="873"/>
      <x:c r="D2" s="873"/>
      <x:c r="E2" s="873"/>
      <x:c r="F2" s="873"/>
      <x:c r="G2" s="315"/>
      <x:c r="H2" s="315"/>
      <x:c r="I2" s="315"/>
      <x:c r="J2" s="315"/>
      <x:c r="K2" s="315"/>
    </x:row>
    <x:row r="3" ht="15" hidden="0" customHeight="1">
      <x:c r="A3" s="315"/>
      <x:c r="B3" s="315"/>
      <x:c r="C3" s="315"/>
      <x:c r="D3" s="315"/>
      <x:c r="E3" s="315"/>
      <x:c r="F3" s="315"/>
      <x:c r="G3" s="315"/>
      <x:c r="H3" s="315"/>
      <x:c r="I3" s="315"/>
      <x:c r="J3" s="315"/>
      <x:c r="K3" s="315"/>
    </x:row>
    <x:row r="4" ht="22" hidden="0" customHeight="1">
      <x:c r="A4" s="953" t="str">
        <x:v>Category</x:v>
      </x:c>
      <x:c r="B4" s="953" t="str">
        <x:v>Planned</x:v>
      </x:c>
      <x:c r="C4" s="953" t="str">
        <x:v>Actual</x:v>
      </x:c>
      <x:c r="D4" s="953" t="str">
        <x:v>Difference</x:v>
      </x:c>
      <x:c r="E4" s="953" t="str">
        <x:v>Share of Spending</x:v>
      </x:c>
      <x:c r="F4" s="953" t="str">
        <x:v>Status</x:v>
      </x:c>
      <x:c r="G4" s="315"/>
      <x:c r="H4" s="315"/>
      <x:c r="I4" s="315"/>
      <x:c r="J4" s="315"/>
      <x:c r="K4" s="315"/>
    </x:row>
    <x:row r="5" ht="21" hidden="0" customHeight="1">
      <x:c r="A5" s="938" t="str">
        <x:v>Housing</x:v>
      </x:c>
      <x:c r="B5" s="966" t="n">
        <x:f>SUMIF(Expenses!$B$5:$B$24,A5,Expenses!$D$5:$D$24)</x:f>
        <x:v>700</x:v>
      </x:c>
      <x:c r="C5" s="966" t="n">
        <x:f>SUMIF(Expenses!$B$5:$B$24,A5,Expenses!$E$5:$E$24)</x:f>
        <x:v>700</x:v>
      </x:c>
      <x:c r="D5" s="966" t="n">
        <x:f>B5-C5</x:f>
        <x:v>0</x:v>
      </x:c>
      <x:c r="E5" s="967" t="n">
        <x:f>IFERROR(C5/SUM($C$5:$C$14),0)</x:f>
        <x:v>0.3547896604156107</x:v>
      </x:c>
      <x:c r="F5" s="968" t="str">
        <x:f>IF(C5&gt;B5,"Over budget",IF(C5=0,"No spending","On plan"))</x:f>
        <x:v>On plan</x:v>
      </x:c>
      <x:c r="G5" s="315"/>
      <x:c r="H5" s="315"/>
      <x:c r="I5" s="315"/>
      <x:c r="J5" s="315"/>
      <x:c r="K5" s="315"/>
    </x:row>
    <x:row r="6" ht="21" hidden="0" customHeight="1">
      <x:c r="A6" s="938" t="str">
        <x:v>Food</x:v>
      </x:c>
      <x:c r="B6" s="966" t="n">
        <x:f>SUMIF(Expenses!$B$5:$B$24,A6,Expenses!$D$5:$D$24)</x:f>
        <x:v>300</x:v>
      </x:c>
      <x:c r="C6" s="966" t="n">
        <x:f>SUMIF(Expenses!$B$5:$B$24,A6,Expenses!$E$5:$E$24)</x:f>
        <x:v>345</x:v>
      </x:c>
      <x:c r="D6" s="966" t="n">
        <x:f>B6-C6</x:f>
        <x:v>-45</x:v>
      </x:c>
      <x:c r="E6" s="967" t="n">
        <x:f>IFERROR(C6/SUM($C$5:$C$14),0)</x:f>
        <x:v>0.17486061834769387</x:v>
      </x:c>
      <x:c r="F6" s="968" t="str">
        <x:f>IF(C6&gt;B6,"Over budget",IF(C6=0,"No spending","On plan"))</x:f>
        <x:v>Over budget</x:v>
      </x:c>
      <x:c r="G6" s="315"/>
      <x:c r="H6" s="315"/>
      <x:c r="I6" s="315"/>
      <x:c r="J6" s="315"/>
      <x:c r="K6" s="315"/>
    </x:row>
    <x:row r="7" ht="21" hidden="0" customHeight="1">
      <x:c r="A7" s="938" t="str">
        <x:v>Transport</x:v>
      </x:c>
      <x:c r="B7" s="966" t="n">
        <x:f>SUMIF(Expenses!$B$5:$B$24,A7,Expenses!$D$5:$D$24)</x:f>
        <x:v>120</x:v>
      </x:c>
      <x:c r="C7" s="966" t="n">
        <x:f>SUMIF(Expenses!$B$5:$B$24,A7,Expenses!$E$5:$E$24)</x:f>
        <x:v>95</x:v>
      </x:c>
      <x:c r="D7" s="966" t="n">
        <x:f>B7-C7</x:f>
        <x:v>25</x:v>
      </x:c>
      <x:c r="E7" s="967" t="n">
        <x:f>IFERROR(C7/SUM($C$5:$C$14),0)</x:f>
        <x:v>0.0481500253421186</x:v>
      </x:c>
      <x:c r="F7" s="968" t="str">
        <x:f>IF(C7&gt;B7,"Over budget",IF(C7=0,"No spending","On plan"))</x:f>
        <x:v>On plan</x:v>
      </x:c>
      <x:c r="G7" s="315"/>
      <x:c r="H7" s="315"/>
      <x:c r="I7" s="315"/>
      <x:c r="J7" s="315"/>
      <x:c r="K7" s="315"/>
    </x:row>
    <x:row r="8" ht="21" hidden="0" customHeight="1">
      <x:c r="A8" s="938" t="str">
        <x:v>Utilities</x:v>
      </x:c>
      <x:c r="B8" s="966" t="n">
        <x:f>SUMIF(Expenses!$B$5:$B$24,A8,Expenses!$D$5:$D$24)</x:f>
        <x:v>160</x:v>
      </x:c>
      <x:c r="C8" s="966" t="n">
        <x:f>SUMIF(Expenses!$B$5:$B$24,A8,Expenses!$E$5:$E$24)</x:f>
        <x:v>150</x:v>
      </x:c>
      <x:c r="D8" s="966" t="n">
        <x:f>B8-C8</x:f>
        <x:v>10</x:v>
      </x:c>
      <x:c r="E8" s="967" t="n">
        <x:f>IFERROR(C8/SUM($C$5:$C$14),0)</x:f>
        <x:v>0.07602635580334516</x:v>
      </x:c>
      <x:c r="F8" s="968" t="str">
        <x:f>IF(C8&gt;B8,"Over budget",IF(C8=0,"No spending","On plan"))</x:f>
        <x:v>On plan</x:v>
      </x:c>
      <x:c r="G8" s="315"/>
      <x:c r="H8" s="315"/>
      <x:c r="I8" s="315"/>
      <x:c r="J8" s="315"/>
      <x:c r="K8" s="315"/>
    </x:row>
    <x:row r="9" ht="21" hidden="0" customHeight="1">
      <x:c r="A9" s="938" t="str">
        <x:v>Subscriptions</x:v>
      </x:c>
      <x:c r="B9" s="966" t="n">
        <x:f>SUMIF(Expenses!$B$5:$B$24,A9,Expenses!$D$5:$D$24)</x:f>
        <x:v>60</x:v>
      </x:c>
      <x:c r="C9" s="966" t="n">
        <x:f>SUMIF(Expenses!$B$5:$B$24,A9,Expenses!$E$5:$E$24)</x:f>
        <x:v>78</x:v>
      </x:c>
      <x:c r="D9" s="966" t="n">
        <x:f>B9-C9</x:f>
        <x:v>-18</x:v>
      </x:c>
      <x:c r="E9" s="967" t="n">
        <x:f>IFERROR(C9/SUM($C$5:$C$14),0)</x:f>
        <x:v>0.039533705017739486</x:v>
      </x:c>
      <x:c r="F9" s="968" t="str">
        <x:f>IF(C9&gt;B9,"Over budget",IF(C9=0,"No spending","On plan"))</x:f>
        <x:v>Over budget</x:v>
      </x:c>
      <x:c r="G9" s="315"/>
      <x:c r="H9" s="315"/>
      <x:c r="I9" s="315"/>
      <x:c r="J9" s="315"/>
      <x:c r="K9" s="315"/>
    </x:row>
    <x:row r="10" ht="21" hidden="0" customHeight="1">
      <x:c r="A10" s="938" t="str">
        <x:v>Health</x:v>
      </x:c>
      <x:c r="B10" s="966" t="n">
        <x:f>SUMIF(Expenses!$B$5:$B$24,A10,Expenses!$D$5:$D$24)</x:f>
        <x:v>80</x:v>
      </x:c>
      <x:c r="C10" s="966" t="n">
        <x:f>SUMIF(Expenses!$B$5:$B$24,A10,Expenses!$E$5:$E$24)</x:f>
        <x:v>65</x:v>
      </x:c>
      <x:c r="D10" s="966" t="n">
        <x:f>B10-C10</x:f>
        <x:v>15</x:v>
      </x:c>
      <x:c r="E10" s="967" t="n">
        <x:f>IFERROR(C10/SUM($C$5:$C$14),0)</x:f>
        <x:v>0.03294475418144957</x:v>
      </x:c>
      <x:c r="F10" s="968" t="str">
        <x:f>IF(C10&gt;B10,"Over budget",IF(C10=0,"No spending","On plan"))</x:f>
        <x:v>On plan</x:v>
      </x:c>
      <x:c r="G10" s="315"/>
      <x:c r="H10" s="315"/>
      <x:c r="I10" s="315"/>
      <x:c r="J10" s="315"/>
      <x:c r="K10" s="315"/>
    </x:row>
    <x:row r="11" ht="21" hidden="0" customHeight="1">
      <x:c r="A11" s="938" t="str">
        <x:v>Education</x:v>
      </x:c>
      <x:c r="B11" s="966" t="n">
        <x:f>SUMIF(Expenses!$B$5:$B$24,A11,Expenses!$D$5:$D$24)</x:f>
        <x:v>100</x:v>
      </x:c>
      <x:c r="C11" s="966" t="n">
        <x:f>SUMIF(Expenses!$B$5:$B$24,A11,Expenses!$E$5:$E$24)</x:f>
        <x:v>120</x:v>
      </x:c>
      <x:c r="D11" s="966" t="n">
        <x:f>B11-C11</x:f>
        <x:v>-20</x:v>
      </x:c>
      <x:c r="E11" s="967" t="n">
        <x:f>IFERROR(C11/SUM($C$5:$C$14),0)</x:f>
        <x:v>0.060821084642676125</x:v>
      </x:c>
      <x:c r="F11" s="968" t="str">
        <x:f>IF(C11&gt;B11,"Over budget",IF(C11=0,"No spending","On plan"))</x:f>
        <x:v>Over budget</x:v>
      </x:c>
      <x:c r="G11" s="315"/>
      <x:c r="H11" s="315"/>
      <x:c r="I11" s="315"/>
      <x:c r="J11" s="315"/>
      <x:c r="K11" s="315"/>
    </x:row>
    <x:row r="12" ht="21" hidden="0" customHeight="1">
      <x:c r="A12" s="938" t="str">
        <x:v>Entertainment</x:v>
      </x:c>
      <x:c r="B12" s="966" t="n">
        <x:f>SUMIF(Expenses!$B$5:$B$24,A12,Expenses!$D$5:$D$24)</x:f>
        <x:v>120</x:v>
      </x:c>
      <x:c r="C12" s="966" t="n">
        <x:f>SUMIF(Expenses!$B$5:$B$24,A12,Expenses!$E$5:$E$24)</x:f>
        <x:v>170</x:v>
      </x:c>
      <x:c r="D12" s="966" t="n">
        <x:f>B12-C12</x:f>
        <x:v>-50</x:v>
      </x:c>
      <x:c r="E12" s="967" t="n">
        <x:f>IFERROR(C12/SUM($C$5:$C$14),0)</x:f>
        <x:v>0.08616320324379118</x:v>
      </x:c>
      <x:c r="F12" s="968" t="str">
        <x:f>IF(C12&gt;B12,"Over budget",IF(C12=0,"No spending","On plan"))</x:f>
        <x:v>Over budget</x:v>
      </x:c>
      <x:c r="G12" s="315"/>
      <x:c r="H12" s="315"/>
      <x:c r="I12" s="315"/>
      <x:c r="J12" s="315"/>
      <x:c r="K12" s="315"/>
    </x:row>
    <x:row r="13" ht="21" hidden="0" customHeight="1">
      <x:c r="A13" s="938" t="str">
        <x:v>Shopping</x:v>
      </x:c>
      <x:c r="B13" s="966" t="n">
        <x:f>SUMIF(Expenses!$B$5:$B$24,A13,Expenses!$D$5:$D$24)</x:f>
        <x:v>150</x:v>
      </x:c>
      <x:c r="C13" s="966" t="n">
        <x:f>SUMIF(Expenses!$B$5:$B$24,A13,Expenses!$E$5:$E$24)</x:f>
        <x:v>210</x:v>
      </x:c>
      <x:c r="D13" s="966" t="n">
        <x:f>B13-C13</x:f>
        <x:v>-60</x:v>
      </x:c>
      <x:c r="E13" s="967" t="n">
        <x:f>IFERROR(C13/SUM($C$5:$C$14),0)</x:f>
        <x:v>0.10643689812468322</x:v>
      </x:c>
      <x:c r="F13" s="968" t="str">
        <x:f>IF(C13&gt;B13,"Over budget",IF(C13=0,"No spending","On plan"))</x:f>
        <x:v>Over budget</x:v>
      </x:c>
      <x:c r="G13" s="315"/>
      <x:c r="H13" s="315"/>
      <x:c r="I13" s="315"/>
      <x:c r="J13" s="315"/>
      <x:c r="K13" s="315"/>
    </x:row>
    <x:row r="14" ht="21" hidden="0" customHeight="1">
      <x:c r="A14" s="938" t="str">
        <x:v>Other</x:v>
      </x:c>
      <x:c r="B14" s="969" t="n">
        <x:f>SUMIF(Expenses!$B$5:$B$24,A14,Expenses!$D$5:$D$24)</x:f>
        <x:v>75</x:v>
      </x:c>
      <x:c r="C14" s="969" t="n">
        <x:f>SUMIF(Expenses!$B$5:$B$24,A14,Expenses!$E$5:$E$24)</x:f>
        <x:v>40</x:v>
      </x:c>
      <x:c r="D14" s="969" t="n">
        <x:f>B14-C14</x:f>
        <x:v>35</x:v>
      </x:c>
      <x:c r="E14" s="970" t="n">
        <x:f>IFERROR(C14/SUM($C$5:$C$14),0)</x:f>
        <x:v>0.02027369488089204</x:v>
      </x:c>
      <x:c r="F14" s="971" t="str">
        <x:f>IF(C14&gt;B14,"Over budget",IF(C14=0,"No spending","On plan"))</x:f>
        <x:v>On plan</x:v>
      </x:c>
      <x:c r="G14" s="315"/>
      <x:c r="H14" s="315"/>
      <x:c r="I14" s="315"/>
      <x:c r="J14" s="315"/>
      <x:c r="K14" s="315"/>
    </x:row>
    <x:row r="15" ht="15" hidden="0" customHeight="1">
      <x:c r="A15" s="315"/>
      <x:c r="B15" s="315"/>
      <x:c r="C15" s="315"/>
      <x:c r="D15" s="315"/>
      <x:c r="E15" s="315"/>
      <x:c r="F15" s="315"/>
      <x:c r="G15" s="315"/>
      <x:c r="H15" s="315"/>
      <x:c r="I15" s="315"/>
      <x:c r="J15" s="315"/>
      <x:c r="K15" s="315"/>
    </x:row>
    <x:row r="16" ht="15" hidden="0" customHeight="1">
      <x:c r="A16" s="315"/>
      <x:c r="B16" s="315"/>
      <x:c r="C16" s="315"/>
      <x:c r="D16" s="315"/>
      <x:c r="E16" s="315"/>
      <x:c r="F16" s="315"/>
      <x:c r="G16" s="315"/>
      <x:c r="H16" s="315"/>
      <x:c r="I16" s="315"/>
      <x:c r="J16" s="315"/>
      <x:c r="K16" s="315"/>
    </x:row>
    <x:row r="17" ht="15" hidden="0" customHeight="1">
      <x:c r="A17" s="315"/>
      <x:c r="B17" s="315"/>
      <x:c r="C17" s="315"/>
      <x:c r="D17" s="315"/>
      <x:c r="E17" s="315"/>
      <x:c r="F17" s="315"/>
      <x:c r="G17" s="315"/>
      <x:c r="H17" s="315"/>
      <x:c r="I17" s="315"/>
      <x:c r="J17" s="315"/>
      <x:c r="K17" s="315"/>
    </x:row>
    <x:row r="18" ht="15" hidden="0" customHeight="1">
      <x:c r="A18" s="315"/>
      <x:c r="B18" s="315"/>
      <x:c r="C18" s="315"/>
      <x:c r="D18" s="315"/>
      <x:c r="E18" s="315"/>
      <x:c r="F18" s="315"/>
      <x:c r="G18" s="315"/>
      <x:c r="H18" s="315"/>
      <x:c r="I18" s="315"/>
      <x:c r="J18" s="315"/>
      <x:c r="K18" s="315"/>
    </x:row>
    <x:row r="19" ht="15" hidden="0" customHeight="1">
      <x:c r="A19" s="315"/>
      <x:c r="B19" s="315"/>
      <x:c r="C19" s="315"/>
      <x:c r="D19" s="315"/>
      <x:c r="E19" s="315"/>
      <x:c r="F19" s="315"/>
      <x:c r="G19" s="315"/>
      <x:c r="H19" s="315"/>
      <x:c r="I19" s="315"/>
      <x:c r="J19" s="315"/>
      <x:c r="K19" s="315"/>
    </x:row>
    <x:row r="20" ht="15" hidden="0" customHeight="1">
      <x:c r="A20" s="315"/>
      <x:c r="B20" s="315"/>
      <x:c r="C20" s="315"/>
      <x:c r="D20" s="315"/>
      <x:c r="E20" s="315"/>
      <x:c r="F20" s="315"/>
      <x:c r="G20" s="315"/>
      <x:c r="H20" s="315"/>
      <x:c r="I20" s="315"/>
      <x:c r="J20" s="315"/>
      <x:c r="K20" s="315"/>
    </x:row>
    <x:row r="21" ht="15" hidden="0" customHeight="1">
      <x:c r="A21" s="315"/>
      <x:c r="B21" s="315"/>
      <x:c r="C21" s="315"/>
      <x:c r="D21" s="315"/>
      <x:c r="E21" s="315"/>
      <x:c r="F21" s="315"/>
      <x:c r="G21" s="315"/>
      <x:c r="H21" s="315"/>
      <x:c r="I21" s="315"/>
      <x:c r="J21" s="315"/>
      <x:c r="K21" s="315"/>
    </x:row>
    <x:row r="22" ht="15" hidden="0" customHeight="1">
      <x:c r="A22" s="315"/>
      <x:c r="B22" s="315"/>
      <x:c r="C22" s="315"/>
      <x:c r="D22" s="315"/>
      <x:c r="E22" s="315"/>
      <x:c r="F22" s="315"/>
      <x:c r="G22" s="315"/>
      <x:c r="H22" s="315"/>
      <x:c r="I22" s="315"/>
      <x:c r="J22" s="315"/>
      <x:c r="K22" s="315"/>
    </x:row>
    <x:row r="23" ht="15" hidden="0" customHeight="1">
      <x:c r="A23" s="315"/>
      <x:c r="B23" s="315"/>
      <x:c r="C23" s="315"/>
      <x:c r="D23" s="315"/>
      <x:c r="E23" s="315"/>
      <x:c r="F23" s="315"/>
      <x:c r="G23" s="315"/>
      <x:c r="H23" s="315"/>
      <x:c r="I23" s="315"/>
      <x:c r="J23" s="315"/>
      <x:c r="K23" s="315"/>
    </x:row>
    <x:row r="24" ht="15" hidden="0" customHeight="1">
      <x:c r="A24" s="315"/>
      <x:c r="B24" s="315"/>
      <x:c r="C24" s="315"/>
      <x:c r="D24" s="315"/>
      <x:c r="E24" s="315"/>
      <x:c r="F24" s="315"/>
      <x:c r="G24" s="315"/>
      <x:c r="H24" s="315"/>
      <x:c r="I24" s="315"/>
      <x:c r="J24" s="315"/>
      <x:c r="K24" s="315"/>
    </x:row>
    <x:row r="25" ht="15" hidden="0" customHeight="1">
      <x:c r="A25" s="315"/>
      <x:c r="B25" s="315"/>
      <x:c r="C25" s="315"/>
      <x:c r="D25" s="315"/>
      <x:c r="E25" s="315"/>
      <x:c r="F25" s="315"/>
      <x:c r="G25" s="315"/>
      <x:c r="H25" s="315"/>
      <x:c r="I25" s="315"/>
      <x:c r="J25" s="315"/>
      <x:c r="K25" s="315"/>
    </x:row>
    <x:row r="26" ht="15" hidden="0" customHeight="1">
      <x:c r="A26" s="315"/>
      <x:c r="B26" s="315"/>
      <x:c r="C26" s="315"/>
      <x:c r="D26" s="315"/>
      <x:c r="E26" s="315"/>
      <x:c r="F26" s="315"/>
      <x:c r="G26" s="315"/>
      <x:c r="H26" s="315"/>
      <x:c r="I26" s="315"/>
      <x:c r="J26" s="315"/>
      <x:c r="K26" s="315"/>
    </x:row>
    <x:row r="27" ht="15" hidden="0" customHeight="1">
      <x:c r="A27" s="315"/>
      <x:c r="B27" s="315"/>
      <x:c r="C27" s="315"/>
      <x:c r="D27" s="315"/>
      <x:c r="E27" s="315"/>
      <x:c r="F27" s="315"/>
      <x:c r="G27" s="315"/>
      <x:c r="H27" s="315"/>
      <x:c r="I27" s="315"/>
      <x:c r="J27" s="315"/>
      <x:c r="K27" s="315"/>
    </x:row>
    <x:row r="28" ht="15" hidden="0" customHeight="1">
      <x:c r="A28" s="315"/>
      <x:c r="B28" s="315"/>
      <x:c r="C28" s="315"/>
      <x:c r="D28" s="315"/>
      <x:c r="E28" s="315"/>
      <x:c r="F28" s="315"/>
      <x:c r="G28" s="315"/>
      <x:c r="H28" s="315"/>
      <x:c r="I28" s="315"/>
      <x:c r="J28" s="315"/>
      <x:c r="K28" s="315"/>
    </x:row>
    <x:row r="29" ht="15" hidden="0" customHeight="1">
      <x:c r="A29" s="315"/>
      <x:c r="B29" s="315"/>
      <x:c r="C29" s="315"/>
      <x:c r="D29" s="315"/>
      <x:c r="E29" s="315"/>
      <x:c r="F29" s="315"/>
      <x:c r="G29" s="315"/>
      <x:c r="H29" s="315"/>
      <x:c r="I29" s="315"/>
      <x:c r="J29" s="315"/>
      <x:c r="K29" s="315"/>
    </x:row>
    <x:row r="30" ht="15" hidden="0" customHeight="1">
      <x:c r="A30" s="315"/>
      <x:c r="B30" s="315"/>
      <x:c r="C30" s="315"/>
      <x:c r="D30" s="315"/>
      <x:c r="E30" s="315"/>
      <x:c r="F30" s="315"/>
      <x:c r="G30" s="315"/>
      <x:c r="H30" s="315"/>
      <x:c r="I30" s="315"/>
      <x:c r="J30" s="315"/>
      <x:c r="K30" s="315"/>
    </x:row>
    <x:row r="31" ht="15" hidden="0" customHeight="1">
      <x:c r="A31" s="315"/>
      <x:c r="B31" s="315"/>
      <x:c r="C31" s="315"/>
      <x:c r="D31" s="315"/>
      <x:c r="E31" s="315"/>
      <x:c r="F31" s="315"/>
      <x:c r="G31" s="315"/>
      <x:c r="H31" s="315"/>
      <x:c r="I31" s="315"/>
      <x:c r="J31" s="315"/>
      <x:c r="K31" s="315"/>
    </x:row>
    <x:row r="32" ht="15" hidden="0" customHeight="1">
      <x:c r="A32" s="315"/>
      <x:c r="B32" s="315"/>
      <x:c r="C32" s="315"/>
      <x:c r="D32" s="315"/>
      <x:c r="E32" s="315"/>
      <x:c r="F32" s="315"/>
      <x:c r="G32" s="315"/>
      <x:c r="H32" s="315"/>
      <x:c r="I32" s="315"/>
      <x:c r="J32" s="315"/>
      <x:c r="K32" s="315"/>
    </x:row>
    <x:row r="33" ht="15" hidden="0" customHeight="1">
      <x:c r="A33" s="315"/>
      <x:c r="B33" s="315"/>
      <x:c r="C33" s="315"/>
      <x:c r="D33" s="315"/>
      <x:c r="E33" s="315"/>
      <x:c r="F33" s="315"/>
      <x:c r="G33" s="315"/>
      <x:c r="H33" s="315"/>
      <x:c r="I33" s="315"/>
      <x:c r="J33" s="315"/>
      <x:c r="K33" s="315"/>
    </x:row>
    <x:row r="34" ht="15" hidden="0" customHeight="1">
      <x:c r="A34" s="315"/>
      <x:c r="B34" s="315"/>
      <x:c r="C34" s="315"/>
      <x:c r="D34" s="315"/>
      <x:c r="E34" s="315"/>
      <x:c r="F34" s="315"/>
      <x:c r="G34" s="315"/>
      <x:c r="H34" s="315"/>
      <x:c r="I34" s="315"/>
      <x:c r="J34" s="315"/>
      <x:c r="K34" s="315"/>
    </x:row>
    <x:row r="35" ht="15" hidden="0" customHeight="1">
      <x:c r="A35" s="315"/>
      <x:c r="B35" s="315"/>
      <x:c r="C35" s="315"/>
      <x:c r="D35" s="315"/>
      <x:c r="E35" s="315"/>
      <x:c r="F35" s="315"/>
      <x:c r="G35" s="315"/>
      <x:c r="H35" s="315"/>
      <x:c r="I35" s="315"/>
      <x:c r="J35" s="315"/>
      <x:c r="K35" s="315"/>
    </x:row>
    <x:row r="36" ht="15" hidden="0" customHeight="1">
      <x:c r="A36" s="315"/>
      <x:c r="B36" s="315"/>
      <x:c r="C36" s="315"/>
      <x:c r="D36" s="315"/>
      <x:c r="E36" s="315"/>
      <x:c r="F36" s="315"/>
      <x:c r="G36" s="315"/>
      <x:c r="H36" s="315"/>
      <x:c r="I36" s="315"/>
      <x:c r="J36" s="315"/>
      <x:c r="K36" s="315"/>
    </x:row>
    <x:row r="37" ht="15" hidden="0" customHeight="1">
      <x:c r="A37" s="315"/>
      <x:c r="B37" s="315"/>
      <x:c r="C37" s="315"/>
      <x:c r="D37" s="315"/>
      <x:c r="E37" s="315"/>
      <x:c r="F37" s="315"/>
      <x:c r="G37" s="315"/>
      <x:c r="H37" s="315"/>
      <x:c r="I37" s="315"/>
      <x:c r="J37" s="315"/>
      <x:c r="K37" s="315"/>
    </x:row>
    <x:row r="38" ht="15" hidden="0" customHeight="1">
      <x:c r="A38" s="315"/>
      <x:c r="B38" s="315"/>
      <x:c r="C38" s="315"/>
      <x:c r="D38" s="315"/>
      <x:c r="E38" s="315"/>
      <x:c r="F38" s="315"/>
      <x:c r="G38" s="315"/>
      <x:c r="H38" s="315"/>
      <x:c r="I38" s="315"/>
      <x:c r="J38" s="315"/>
      <x:c r="K38" s="315"/>
    </x:row>
    <x:row r="39" ht="15" hidden="0" customHeight="1">
      <x:c r="A39" s="315"/>
      <x:c r="B39" s="315"/>
      <x:c r="C39" s="315"/>
      <x:c r="D39" s="315"/>
      <x:c r="E39" s="315"/>
      <x:c r="F39" s="315"/>
      <x:c r="G39" s="315"/>
      <x:c r="H39" s="315"/>
      <x:c r="I39" s="315"/>
      <x:c r="J39" s="315"/>
      <x:c r="K39" s="315"/>
    </x:row>
    <x:row r="40" ht="15" hidden="0" customHeight="1">
      <x:c r="A40" s="315"/>
      <x:c r="B40" s="315"/>
      <x:c r="C40" s="315"/>
      <x:c r="D40" s="315"/>
      <x:c r="E40" s="315"/>
      <x:c r="F40" s="315"/>
      <x:c r="G40" s="315"/>
      <x:c r="H40" s="315"/>
      <x:c r="I40" s="315"/>
      <x:c r="J40" s="315"/>
      <x:c r="K40" s="315"/>
    </x:row>
    <x:row r="41" ht="15" hidden="0" customHeight="1">
      <x:c r="A41" s="315"/>
      <x:c r="B41" s="315"/>
      <x:c r="C41" s="315"/>
      <x:c r="D41" s="315"/>
      <x:c r="E41" s="315"/>
      <x:c r="F41" s="315"/>
      <x:c r="G41" s="315"/>
      <x:c r="H41" s="315"/>
      <x:c r="I41" s="315"/>
      <x:c r="J41" s="315"/>
      <x:c r="K41" s="315"/>
    </x:row>
    <x:row r="42" ht="15" hidden="0" customHeight="1">
      <x:c r="A42" s="315"/>
      <x:c r="B42" s="315"/>
      <x:c r="C42" s="315"/>
      <x:c r="D42" s="315"/>
      <x:c r="E42" s="315"/>
      <x:c r="F42" s="315"/>
      <x:c r="G42" s="315"/>
      <x:c r="H42" s="315"/>
      <x:c r="I42" s="315"/>
      <x:c r="J42" s="315"/>
      <x:c r="K42" s="315"/>
    </x:row>
    <x:row r="43" ht="15" hidden="0" customHeight="1">
      <x:c r="A43" s="315"/>
      <x:c r="B43" s="315"/>
      <x:c r="C43" s="315"/>
      <x:c r="D43" s="315"/>
      <x:c r="E43" s="315"/>
      <x:c r="F43" s="315"/>
      <x:c r="G43" s="315"/>
      <x:c r="H43" s="315"/>
      <x:c r="I43" s="315"/>
      <x:c r="J43" s="315"/>
      <x:c r="K43" s="315"/>
    </x:row>
    <x:row r="44" ht="15" hidden="0" customHeight="1">
      <x:c r="A44" s="315"/>
      <x:c r="B44" s="315"/>
      <x:c r="C44" s="315"/>
      <x:c r="D44" s="315"/>
      <x:c r="E44" s="315"/>
      <x:c r="F44" s="315"/>
      <x:c r="G44" s="315"/>
      <x:c r="H44" s="315"/>
      <x:c r="I44" s="315"/>
      <x:c r="J44" s="315"/>
      <x:c r="K44" s="315"/>
    </x:row>
    <x:row r="45" ht="15" hidden="0" customHeight="1">
      <x:c r="A45" s="315"/>
      <x:c r="B45" s="315"/>
      <x:c r="C45" s="315"/>
      <x:c r="D45" s="315"/>
      <x:c r="E45" s="315"/>
      <x:c r="F45" s="315"/>
      <x:c r="G45" s="315"/>
      <x:c r="H45" s="315"/>
      <x:c r="I45" s="315"/>
      <x:c r="J45" s="315"/>
      <x:c r="K45" s="315"/>
    </x:row>
    <x:row r="46" ht="15" hidden="0" customHeight="1">
      <x:c r="A46" s="315"/>
      <x:c r="B46" s="315"/>
      <x:c r="C46" s="315"/>
      <x:c r="D46" s="315"/>
      <x:c r="E46" s="315"/>
      <x:c r="F46" s="315"/>
      <x:c r="G46" s="315"/>
      <x:c r="H46" s="315"/>
      <x:c r="I46" s="315"/>
      <x:c r="J46" s="315"/>
      <x:c r="K46" s="315"/>
    </x:row>
    <x:row r="47" ht="15" hidden="0" customHeight="1">
      <x:c r="A47" s="315"/>
      <x:c r="B47" s="315"/>
      <x:c r="C47" s="315"/>
      <x:c r="D47" s="315"/>
      <x:c r="E47" s="315"/>
      <x:c r="F47" s="315"/>
      <x:c r="G47" s="315"/>
      <x:c r="H47" s="315"/>
      <x:c r="I47" s="315"/>
      <x:c r="J47" s="315"/>
      <x:c r="K47" s="315"/>
    </x:row>
    <x:row r="48" ht="15" hidden="0" customHeight="1">
      <x:c r="A48" s="315"/>
      <x:c r="B48" s="315"/>
      <x:c r="C48" s="315"/>
      <x:c r="D48" s="315"/>
      <x:c r="E48" s="315"/>
      <x:c r="F48" s="315"/>
      <x:c r="G48" s="315"/>
      <x:c r="H48" s="315"/>
      <x:c r="I48" s="315"/>
      <x:c r="J48" s="315"/>
      <x:c r="K48" s="315"/>
    </x:row>
    <x:row r="49" ht="15" hidden="0" customHeight="1">
      <x:c r="A49" s="315"/>
      <x:c r="B49" s="315"/>
      <x:c r="C49" s="315"/>
      <x:c r="D49" s="315"/>
      <x:c r="E49" s="315"/>
      <x:c r="F49" s="315"/>
      <x:c r="G49" s="315"/>
      <x:c r="H49" s="315"/>
      <x:c r="I49" s="315"/>
      <x:c r="J49" s="315"/>
      <x:c r="K49" s="315"/>
    </x:row>
    <x:row r="50" ht="15" hidden="0" customHeight="1">
      <x:c r="A50" s="315"/>
      <x:c r="B50" s="315"/>
      <x:c r="C50" s="315"/>
      <x:c r="D50" s="315"/>
      <x:c r="E50" s="315"/>
      <x:c r="F50" s="315"/>
      <x:c r="G50" s="315"/>
      <x:c r="H50" s="315"/>
      <x:c r="I50" s="315"/>
      <x:c r="J50" s="315"/>
      <x:c r="K50" s="315"/>
    </x:row>
    <x:row r="51" ht="15" hidden="0" customHeight="1">
      <x:c r="A51" s="315"/>
      <x:c r="B51" s="315"/>
      <x:c r="C51" s="315"/>
      <x:c r="D51" s="315"/>
      <x:c r="E51" s="315"/>
      <x:c r="F51" s="315"/>
      <x:c r="G51" s="315"/>
      <x:c r="H51" s="315"/>
      <x:c r="I51" s="315"/>
      <x:c r="J51" s="315"/>
      <x:c r="K51" s="315"/>
    </x:row>
    <x:row r="52" ht="15" hidden="0" customHeight="1">
      <x:c r="A52" s="315"/>
      <x:c r="B52" s="315"/>
      <x:c r="C52" s="315"/>
      <x:c r="D52" s="315"/>
      <x:c r="E52" s="315"/>
      <x:c r="F52" s="315"/>
      <x:c r="G52" s="315"/>
      <x:c r="H52" s="315"/>
      <x:c r="I52" s="315"/>
      <x:c r="J52" s="315"/>
      <x:c r="K52" s="315"/>
    </x:row>
    <x:row r="53" ht="15" hidden="0" customHeight="1">
      <x:c r="A53" s="315"/>
      <x:c r="B53" s="315"/>
      <x:c r="C53" s="315"/>
      <x:c r="D53" s="315"/>
      <x:c r="E53" s="315"/>
      <x:c r="F53" s="315"/>
      <x:c r="G53" s="315"/>
      <x:c r="H53" s="315"/>
      <x:c r="I53" s="315"/>
      <x:c r="J53" s="315"/>
      <x:c r="K53" s="315"/>
    </x:row>
    <x:row r="54" ht="15" hidden="0" customHeight="1">
      <x:c r="A54" s="315"/>
      <x:c r="B54" s="315"/>
      <x:c r="C54" s="315"/>
      <x:c r="D54" s="315"/>
      <x:c r="E54" s="315"/>
      <x:c r="F54" s="315"/>
      <x:c r="G54" s="315"/>
      <x:c r="H54" s="315"/>
      <x:c r="I54" s="315"/>
      <x:c r="J54" s="315"/>
      <x:c r="K54" s="315"/>
    </x:row>
    <x:row r="55" ht="15" hidden="0" customHeight="1">
      <x:c r="A55" s="315"/>
      <x:c r="B55" s="315"/>
      <x:c r="C55" s="315"/>
      <x:c r="D55" s="315"/>
      <x:c r="E55" s="315"/>
      <x:c r="F55" s="315"/>
      <x:c r="G55" s="315"/>
      <x:c r="H55" s="315"/>
      <x:c r="I55" s="315"/>
      <x:c r="J55" s="315"/>
      <x:c r="K55" s="315"/>
    </x:row>
    <x:row r="56" ht="15" hidden="0" customHeight="1">
      <x:c r="A56" s="315"/>
      <x:c r="B56" s="315"/>
      <x:c r="C56" s="315"/>
      <x:c r="D56" s="315"/>
      <x:c r="E56" s="315"/>
      <x:c r="F56" s="315"/>
      <x:c r="G56" s="315"/>
      <x:c r="H56" s="315"/>
      <x:c r="I56" s="315"/>
      <x:c r="J56" s="315"/>
      <x:c r="K56" s="315"/>
    </x:row>
    <x:row r="57" ht="15" hidden="0" customHeight="1">
      <x:c r="A57" s="315"/>
      <x:c r="B57" s="315"/>
      <x:c r="C57" s="315"/>
      <x:c r="D57" s="315"/>
      <x:c r="E57" s="315"/>
      <x:c r="F57" s="315"/>
      <x:c r="G57" s="315"/>
      <x:c r="H57" s="315"/>
      <x:c r="I57" s="315"/>
      <x:c r="J57" s="315"/>
      <x:c r="K57" s="315"/>
    </x:row>
    <x:row r="58" ht="15" hidden="0" customHeight="1">
      <x:c r="A58" s="315"/>
      <x:c r="B58" s="315"/>
      <x:c r="C58" s="315"/>
      <x:c r="D58" s="315"/>
      <x:c r="E58" s="315"/>
      <x:c r="F58" s="315"/>
      <x:c r="G58" s="315"/>
      <x:c r="H58" s="315"/>
      <x:c r="I58" s="315"/>
      <x:c r="J58" s="315"/>
      <x:c r="K58" s="315"/>
    </x:row>
    <x:row r="59" ht="15" hidden="0" customHeight="1">
      <x:c r="A59" s="315"/>
      <x:c r="B59" s="315"/>
      <x:c r="C59" s="315"/>
      <x:c r="D59" s="315"/>
      <x:c r="E59" s="315"/>
      <x:c r="F59" s="315"/>
      <x:c r="G59" s="315"/>
      <x:c r="H59" s="315"/>
      <x:c r="I59" s="315"/>
      <x:c r="J59" s="315"/>
      <x:c r="K59" s="315"/>
    </x:row>
    <x:row r="60" ht="15" hidden="0" customHeight="1">
      <x:c r="A60" s="315"/>
      <x:c r="B60" s="315"/>
      <x:c r="C60" s="315"/>
      <x:c r="D60" s="315"/>
      <x:c r="E60" s="315"/>
      <x:c r="F60" s="315"/>
      <x:c r="G60" s="315"/>
      <x:c r="H60" s="315"/>
      <x:c r="I60" s="315"/>
      <x:c r="J60" s="315"/>
      <x:c r="K60" s="315"/>
    </x:row>
    <x:row r="61" ht="15" hidden="0" customHeight="1">
      <x:c r="A61" s="315"/>
      <x:c r="B61" s="315"/>
      <x:c r="C61" s="315"/>
      <x:c r="D61" s="315"/>
      <x:c r="E61" s="315"/>
      <x:c r="F61" s="315"/>
      <x:c r="G61" s="315"/>
      <x:c r="H61" s="315"/>
      <x:c r="I61" s="315"/>
      <x:c r="J61" s="315"/>
      <x:c r="K61" s="315"/>
    </x:row>
    <x:row r="62" ht="15" hidden="0" customHeight="1">
      <x:c r="A62" s="315"/>
      <x:c r="B62" s="315"/>
      <x:c r="C62" s="315"/>
      <x:c r="D62" s="315"/>
      <x:c r="E62" s="315"/>
      <x:c r="F62" s="315"/>
      <x:c r="G62" s="315"/>
      <x:c r="H62" s="315"/>
      <x:c r="I62" s="315"/>
      <x:c r="J62" s="315"/>
      <x:c r="K62" s="315"/>
    </x:row>
    <x:row r="63" ht="15" hidden="0" customHeight="1">
      <x:c r="A63" s="315"/>
      <x:c r="B63" s="315"/>
      <x:c r="C63" s="315"/>
      <x:c r="D63" s="315"/>
      <x:c r="E63" s="315"/>
      <x:c r="F63" s="315"/>
      <x:c r="G63" s="315"/>
      <x:c r="H63" s="315"/>
      <x:c r="I63" s="315"/>
      <x:c r="J63" s="315"/>
      <x:c r="K63" s="315"/>
    </x:row>
    <x:row r="64" ht="15" hidden="0" customHeight="1">
      <x:c r="A64" s="315"/>
      <x:c r="B64" s="315"/>
      <x:c r="C64" s="315"/>
      <x:c r="D64" s="315"/>
      <x:c r="E64" s="315"/>
      <x:c r="F64" s="315"/>
      <x:c r="G64" s="315"/>
      <x:c r="H64" s="315"/>
      <x:c r="I64" s="315"/>
      <x:c r="J64" s="315"/>
      <x:c r="K64" s="315"/>
    </x:row>
    <x:row r="65" ht="15" hidden="0" customHeight="1">
      <x:c r="A65" s="315"/>
      <x:c r="B65" s="315"/>
      <x:c r="C65" s="315"/>
      <x:c r="D65" s="315"/>
      <x:c r="E65" s="315"/>
      <x:c r="F65" s="315"/>
      <x:c r="G65" s="315"/>
      <x:c r="H65" s="315"/>
      <x:c r="I65" s="315"/>
      <x:c r="J65" s="315"/>
      <x:c r="K65" s="315"/>
    </x:row>
    <x:row r="66" ht="15" hidden="0" customHeight="1">
      <x:c r="A66" s="315"/>
      <x:c r="B66" s="315"/>
      <x:c r="C66" s="315"/>
      <x:c r="D66" s="315"/>
      <x:c r="E66" s="315"/>
      <x:c r="F66" s="315"/>
      <x:c r="G66" s="315"/>
      <x:c r="H66" s="315"/>
      <x:c r="I66" s="315"/>
      <x:c r="J66" s="315"/>
      <x:c r="K66" s="315"/>
    </x:row>
    <x:row r="67" ht="15" hidden="0" customHeight="1">
      <x:c r="A67" s="315"/>
      <x:c r="B67" s="315"/>
      <x:c r="C67" s="315"/>
      <x:c r="D67" s="315"/>
      <x:c r="E67" s="315"/>
      <x:c r="F67" s="315"/>
      <x:c r="G67" s="315"/>
      <x:c r="H67" s="315"/>
      <x:c r="I67" s="315"/>
      <x:c r="J67" s="315"/>
      <x:c r="K67" s="315"/>
    </x:row>
    <x:row r="68" ht="15" hidden="0" customHeight="1">
      <x:c r="A68" s="315"/>
      <x:c r="B68" s="315"/>
      <x:c r="C68" s="315"/>
      <x:c r="D68" s="315"/>
      <x:c r="E68" s="315"/>
      <x:c r="F68" s="315"/>
      <x:c r="G68" s="315"/>
      <x:c r="H68" s="315"/>
      <x:c r="I68" s="315"/>
      <x:c r="J68" s="315"/>
      <x:c r="K68" s="315"/>
    </x:row>
    <x:row r="69" ht="15" hidden="0" customHeight="1">
      <x:c r="A69" s="315"/>
      <x:c r="B69" s="315"/>
      <x:c r="C69" s="315"/>
      <x:c r="D69" s="315"/>
      <x:c r="E69" s="315"/>
      <x:c r="F69" s="315"/>
      <x:c r="G69" s="315"/>
      <x:c r="H69" s="315"/>
      <x:c r="I69" s="315"/>
      <x:c r="J69" s="315"/>
      <x:c r="K69" s="315"/>
    </x:row>
    <x:row r="70" ht="15" hidden="0" customHeight="1">
      <x:c r="A70" s="315"/>
      <x:c r="B70" s="315"/>
      <x:c r="C70" s="315"/>
      <x:c r="D70" s="315"/>
      <x:c r="E70" s="315"/>
      <x:c r="F70" s="315"/>
      <x:c r="G70" s="315"/>
      <x:c r="H70" s="315"/>
      <x:c r="I70" s="315"/>
      <x:c r="J70" s="315"/>
      <x:c r="K70" s="315"/>
    </x:row>
    <x:row r="71" ht="15" hidden="0" customHeight="1">
      <x:c r="A71" s="315"/>
      <x:c r="B71" s="315"/>
      <x:c r="C71" s="315"/>
      <x:c r="D71" s="315"/>
      <x:c r="E71" s="315"/>
      <x:c r="F71" s="315"/>
      <x:c r="G71" s="315"/>
      <x:c r="H71" s="315"/>
      <x:c r="I71" s="315"/>
      <x:c r="J71" s="315"/>
      <x:c r="K71" s="315"/>
    </x:row>
    <x:row r="72" ht="15" hidden="0" customHeight="1">
      <x:c r="A72" s="315"/>
      <x:c r="B72" s="315"/>
      <x:c r="C72" s="315"/>
      <x:c r="D72" s="315"/>
      <x:c r="E72" s="315"/>
      <x:c r="F72" s="315"/>
      <x:c r="G72" s="315"/>
      <x:c r="H72" s="315"/>
      <x:c r="I72" s="315"/>
      <x:c r="J72" s="315"/>
      <x:c r="K72" s="315"/>
    </x:row>
    <x:row r="73" ht="15" hidden="0" customHeight="1">
      <x:c r="A73" s="315"/>
      <x:c r="B73" s="315"/>
      <x:c r="C73" s="315"/>
      <x:c r="D73" s="315"/>
      <x:c r="E73" s="315"/>
      <x:c r="F73" s="315"/>
      <x:c r="G73" s="315"/>
      <x:c r="H73" s="315"/>
      <x:c r="I73" s="315"/>
      <x:c r="J73" s="315"/>
      <x:c r="K73" s="315"/>
    </x:row>
    <x:row r="74" ht="15" hidden="0" customHeight="1">
      <x:c r="A74" s="315"/>
      <x:c r="B74" s="315"/>
      <x:c r="C74" s="315"/>
      <x:c r="D74" s="315"/>
      <x:c r="E74" s="315"/>
      <x:c r="F74" s="315"/>
      <x:c r="G74" s="315"/>
      <x:c r="H74" s="315"/>
      <x:c r="I74" s="315"/>
      <x:c r="J74" s="315"/>
      <x:c r="K74" s="315"/>
    </x:row>
    <x:row r="75" ht="15" hidden="0" customHeight="1">
      <x:c r="A75" s="315"/>
      <x:c r="B75" s="315"/>
      <x:c r="C75" s="315"/>
      <x:c r="D75" s="315"/>
      <x:c r="E75" s="315"/>
      <x:c r="F75" s="315"/>
      <x:c r="G75" s="315"/>
      <x:c r="H75" s="315"/>
      <x:c r="I75" s="315"/>
      <x:c r="J75" s="315"/>
      <x:c r="K75" s="315"/>
    </x:row>
    <x:row r="76" ht="15" hidden="0" customHeight="1">
      <x:c r="A76" s="315"/>
      <x:c r="B76" s="315"/>
      <x:c r="C76" s="315"/>
      <x:c r="D76" s="315"/>
      <x:c r="E76" s="315"/>
      <x:c r="F76" s="315"/>
      <x:c r="G76" s="315"/>
      <x:c r="H76" s="315"/>
      <x:c r="I76" s="315"/>
      <x:c r="J76" s="315"/>
      <x:c r="K76" s="315"/>
    </x:row>
    <x:row r="77" ht="15" hidden="0" customHeight="1">
      <x:c r="A77" s="315"/>
      <x:c r="B77" s="315"/>
      <x:c r="C77" s="315"/>
      <x:c r="D77" s="315"/>
      <x:c r="E77" s="315"/>
      <x:c r="F77" s="315"/>
      <x:c r="G77" s="315"/>
      <x:c r="H77" s="315"/>
      <x:c r="I77" s="315"/>
      <x:c r="J77" s="315"/>
      <x:c r="K77" s="315"/>
    </x:row>
    <x:row r="78" ht="15" hidden="0" customHeight="1">
      <x:c r="A78" s="315"/>
      <x:c r="B78" s="315"/>
      <x:c r="C78" s="315"/>
      <x:c r="D78" s="315"/>
      <x:c r="E78" s="315"/>
      <x:c r="F78" s="315"/>
      <x:c r="G78" s="315"/>
      <x:c r="H78" s="315"/>
      <x:c r="I78" s="315"/>
      <x:c r="J78" s="315"/>
      <x:c r="K78" s="315"/>
    </x:row>
    <x:row r="79" ht="15" hidden="0" customHeight="1">
      <x:c r="A79" s="315"/>
      <x:c r="B79" s="315"/>
      <x:c r="C79" s="315"/>
      <x:c r="D79" s="315"/>
      <x:c r="E79" s="315"/>
      <x:c r="F79" s="315"/>
      <x:c r="G79" s="315"/>
      <x:c r="H79" s="315"/>
      <x:c r="I79" s="315"/>
      <x:c r="J79" s="315"/>
      <x:c r="K79" s="315"/>
    </x:row>
    <x:row r="80" ht="15" hidden="0" customHeight="1">
      <x:c r="A80" s="315"/>
      <x:c r="B80" s="315"/>
      <x:c r="C80" s="315"/>
      <x:c r="D80" s="315"/>
      <x:c r="E80" s="315"/>
      <x:c r="F80" s="315"/>
      <x:c r="G80" s="315"/>
      <x:c r="H80" s="315"/>
      <x:c r="I80" s="315"/>
      <x:c r="J80" s="315"/>
      <x:c r="K80" s="315"/>
    </x:row>
  </x:sheetData>
  <x:mergeCells>
    <x:mergeCell ref="A1:F1"/>
    <x:mergeCell ref="A2:F2"/>
  </x:mergeCells>
  <x:conditionalFormatting sqref="C5:C14">
    <x:cfRule type="dataBar" priority="1">
      <x:dataBar>
        <x:cfvo type="min"/>
        <x:cfvo type="max"/>
        <x:color rgb="C8A96A"/>
      </x:dataBar>
      <x:extLst>
        <x:ext xmlns:x14="http://schemas.microsoft.com/office/spreadsheetml/2009/9/main" uri="{B025F937-C7B1-47D3-B67F-A62EFF666E3E}">
          <x14:id>{1A63A44E-C7C5-BE3D-097E-EC38558077CF}</x14:id>
        </x:ext>
      </x:extLst>
    </x:cfRule>
  </x:conditionalFormatting>
  <x:conditionalFormatting sqref="F5:F14">
    <x:cfRule type="expression" dxfId="9" priority="2">
      <x:formula>F5="Viršytas biudžetas"</x:formula>
    </x:cfRule>
    <x:cfRule type="expression" dxfId="10" priority="3">
      <x:formula>F5="Reikia dėmesio"</x:formula>
    </x:cfRule>
    <x:cfRule type="expression" dxfId="11" priority="4">
      <x:formula>F5="Pagal planą"</x:formula>
    </x:cfRule>
    <x:cfRule type="expression" dxfId="12" priority="5">
      <x:formula>F5="Tikslas pasiektas"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A63A44E-C7C5-BE3D-097E-EC38558077CF}">
            <x14:dataBar gradient="1">
              <x14:cfvo type="min"/>
              <x14:cfvo type="max"/>
              <x14:fillColor rgb="C8A96A"/>
            </x14:dataBar>
          </x14:cfRule>
          <xm:sqref>C5:C14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80" hidden="0" customWidth="1"/>
    <x:col min="2" max="2" width="6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hidden="0" customHeight="1">
      <x:c r="A1" s="867" t="str">
        <x:v>Monthly Review</x:v>
      </x:c>
      <x:c r="B1" s="315"/>
      <x:c r="C1" s="315"/>
      <x:c r="D1" s="315"/>
      <x:c r="E1" s="315"/>
      <x:c r="F1" s="315"/>
      <x:c r="G1" s="315"/>
      <x:c r="H1" s="315"/>
      <x:c r="I1" s="315"/>
      <x:c r="J1" s="315"/>
      <x:c r="K1" s="315"/>
    </x:row>
    <x:row r="2" ht="24" hidden="0" customHeight="1">
      <x:c r="A2" s="896" t="str">
        <x:v>Monthly reflection and action plan</x:v>
      </x:c>
      <x:c r="B2" s="315"/>
      <x:c r="C2" s="315"/>
      <x:c r="D2" s="315"/>
      <x:c r="E2" s="315"/>
      <x:c r="F2" s="315"/>
      <x:c r="G2" s="315"/>
      <x:c r="H2" s="315"/>
      <x:c r="I2" s="315"/>
      <x:c r="J2" s="315"/>
      <x:c r="K2" s="315"/>
    </x:row>
    <x:row r="3" ht="24" hidden="0" customHeight="1">
      <x:c r="A3" s="900"/>
      <x:c r="B3" s="315"/>
      <x:c r="C3" s="315"/>
      <x:c r="D3" s="315"/>
      <x:c r="E3" s="315"/>
      <x:c r="F3" s="315"/>
      <x:c r="G3" s="315"/>
      <x:c r="H3" s="315"/>
      <x:c r="I3" s="315"/>
      <x:c r="J3" s="315"/>
      <x:c r="K3" s="315"/>
    </x:row>
    <x:row r="4" ht="24" hidden="0" customHeight="1">
      <x:c r="A4" s="898" t="str">
        <x:v>Monthly Reflection</x:v>
      </x:c>
      <x:c r="B4" s="340"/>
      <x:c r="C4" s="340"/>
      <x:c r="D4" s="340"/>
      <x:c r="E4" s="340"/>
      <x:c r="F4" s="340"/>
      <x:c r="G4" s="315"/>
      <x:c r="H4" s="315"/>
      <x:c r="I4" s="315"/>
      <x:c r="J4" s="315"/>
      <x:c r="K4" s="315"/>
    </x:row>
    <x:row r="5" ht="24" hidden="0" customHeight="1">
      <x:c r="A5" s="896"/>
      <x:c r="B5" s="315"/>
      <x:c r="C5" s="315"/>
      <x:c r="D5" s="315"/>
      <x:c r="E5" s="315"/>
      <x:c r="F5" s="315"/>
      <x:c r="G5" s="315"/>
      <x:c r="H5" s="315"/>
      <x:c r="I5" s="315"/>
      <x:c r="J5" s="315"/>
      <x:c r="K5" s="315"/>
    </x:row>
    <x:row r="6" ht="24" hidden="0" customHeight="1">
      <x:c r="A6" s="900" t="str">
        <x:v>What went best this month?</x:v>
      </x:c>
      <x:c r="B6" s="352" t="str"/>
      <x:c r="C6" s="315"/>
      <x:c r="D6" s="315"/>
      <x:c r="E6" s="315"/>
      <x:c r="F6" s="315"/>
      <x:c r="G6" s="315"/>
      <x:c r="H6" s="315"/>
      <x:c r="I6" s="315"/>
      <x:c r="J6" s="315"/>
      <x:c r="K6" s="315"/>
    </x:row>
    <x:row r="7" ht="24" hidden="0" customHeight="1">
      <x:c r="A7" s="900" t="str">
        <x:v>Largest expense</x:v>
      </x:c>
      <x:c r="B7" s="352" t="str"/>
      <x:c r="C7" s="315"/>
      <x:c r="D7" s="315"/>
      <x:c r="E7" s="315"/>
      <x:c r="F7" s="315"/>
      <x:c r="G7" s="315"/>
      <x:c r="H7" s="315"/>
      <x:c r="I7" s="315"/>
      <x:c r="J7" s="315"/>
      <x:c r="K7" s="315"/>
    </x:row>
    <x:row r="8" ht="24" hidden="0" customHeight="1">
      <x:c r="A8" s="900" t="str">
        <x:v>Optional expenses to reduce</x:v>
      </x:c>
      <x:c r="B8" s="352" t="str"/>
      <x:c r="C8" s="315"/>
      <x:c r="D8" s="315"/>
      <x:c r="E8" s="315"/>
      <x:c r="F8" s="315"/>
      <x:c r="G8" s="315"/>
      <x:c r="H8" s="315"/>
      <x:c r="I8" s="315"/>
      <x:c r="J8" s="315"/>
      <x:c r="K8" s="315"/>
    </x:row>
    <x:row r="9" ht="24" hidden="0" customHeight="1">
      <x:c r="A9" s="900" t="str">
        <x:v>Biggest financial win</x:v>
      </x:c>
      <x:c r="B9" s="352" t="str"/>
      <x:c r="C9" s="315"/>
      <x:c r="D9" s="315"/>
      <x:c r="E9" s="315"/>
      <x:c r="F9" s="315"/>
      <x:c r="G9" s="315"/>
      <x:c r="H9" s="315"/>
      <x:c r="I9" s="315"/>
      <x:c r="J9" s="315"/>
      <x:c r="K9" s="315"/>
    </x:row>
    <x:row r="10" ht="24" hidden="0" customHeight="1">
      <x:c r="A10" s="900" t="str">
        <x:v>What should be adjusted next month?</x:v>
      </x:c>
      <x:c r="B10" s="356" t="str"/>
      <x:c r="C10" s="315"/>
      <x:c r="D10" s="315"/>
      <x:c r="E10" s="315"/>
      <x:c r="F10" s="315"/>
      <x:c r="G10" s="315"/>
      <x:c r="H10" s="315"/>
      <x:c r="I10" s="315"/>
      <x:c r="J10" s="315"/>
      <x:c r="K10" s="315"/>
    </x:row>
    <x:row r="11" ht="24" hidden="0" customHeight="1">
      <x:c r="A11" s="896"/>
      <x:c r="B11" s="315"/>
      <x:c r="C11" s="315"/>
      <x:c r="D11" s="315"/>
      <x:c r="E11" s="315"/>
      <x:c r="F11" s="315"/>
      <x:c r="G11" s="315"/>
      <x:c r="H11" s="315"/>
      <x:c r="I11" s="315"/>
      <x:c r="J11" s="315"/>
      <x:c r="K11" s="315"/>
    </x:row>
    <x:row r="12" ht="24" hidden="0" customHeight="1">
      <x:c r="A12" s="898" t="str">
        <x:v>3 actions for next month</x:v>
      </x:c>
      <x:c r="B12" s="340"/>
      <x:c r="C12" s="340"/>
      <x:c r="D12" s="340"/>
      <x:c r="E12" s="340"/>
      <x:c r="F12" s="340"/>
      <x:c r="G12" s="315"/>
      <x:c r="H12" s="315"/>
      <x:c r="I12" s="315"/>
      <x:c r="J12" s="315"/>
      <x:c r="K12" s="315"/>
    </x:row>
    <x:row r="13" ht="24" hidden="0" customHeight="1">
      <x:c r="A13" s="896"/>
      <x:c r="B13" s="315"/>
      <x:c r="C13" s="315"/>
      <x:c r="D13" s="315"/>
      <x:c r="E13" s="315"/>
      <x:c r="F13" s="315"/>
      <x:c r="G13" s="315"/>
      <x:c r="H13" s="315"/>
      <x:c r="I13" s="315"/>
      <x:c r="J13" s="315"/>
      <x:c r="K13" s="315"/>
    </x:row>
    <x:row r="14" ht="24" hidden="0" customHeight="1">
      <x:c r="A14" s="900" t="str">
        <x:v>1</x:v>
      </x:c>
      <x:c r="B14" s="352" t="str"/>
      <x:c r="C14" s="315"/>
      <x:c r="D14" s="315"/>
      <x:c r="E14" s="315"/>
      <x:c r="F14" s="315"/>
      <x:c r="G14" s="315"/>
      <x:c r="H14" s="315"/>
      <x:c r="I14" s="315"/>
      <x:c r="J14" s="315"/>
      <x:c r="K14" s="315"/>
    </x:row>
    <x:row r="15" ht="24" hidden="0" customHeight="1">
      <x:c r="A15" s="900" t="str">
        <x:v>2</x:v>
      </x:c>
      <x:c r="B15" s="352" t="str"/>
      <x:c r="C15" s="315"/>
      <x:c r="D15" s="315"/>
      <x:c r="E15" s="315"/>
      <x:c r="F15" s="315"/>
      <x:c r="G15" s="315"/>
      <x:c r="H15" s="315"/>
      <x:c r="I15" s="315"/>
      <x:c r="J15" s="315"/>
      <x:c r="K15" s="315"/>
    </x:row>
    <x:row r="16" ht="24" hidden="0" customHeight="1">
      <x:c r="A16" s="900" t="str">
        <x:v>3</x:v>
      </x:c>
      <x:c r="B16" s="356" t="str"/>
      <x:c r="C16" s="315"/>
      <x:c r="D16" s="315"/>
      <x:c r="E16" s="315"/>
      <x:c r="F16" s="315"/>
      <x:c r="G16" s="315"/>
      <x:c r="H16" s="315"/>
      <x:c r="I16" s="315"/>
      <x:c r="J16" s="315"/>
      <x:c r="K16" s="315"/>
    </x:row>
    <x:row r="17" ht="15" hidden="0" customHeight="1">
      <x:c r="A17" s="315"/>
      <x:c r="B17" s="315"/>
      <x:c r="C17" s="315"/>
      <x:c r="D17" s="315"/>
      <x:c r="E17" s="315"/>
      <x:c r="F17" s="315"/>
      <x:c r="G17" s="315"/>
      <x:c r="H17" s="315"/>
      <x:c r="I17" s="315"/>
      <x:c r="J17" s="315"/>
      <x:c r="K17" s="315"/>
    </x:row>
    <x:row r="18" ht="15" hidden="0" customHeight="1">
      <x:c r="A18" s="315"/>
      <x:c r="B18" s="315"/>
      <x:c r="C18" s="315"/>
      <x:c r="D18" s="315"/>
      <x:c r="E18" s="315"/>
      <x:c r="F18" s="315"/>
      <x:c r="G18" s="315"/>
      <x:c r="H18" s="315"/>
      <x:c r="I18" s="315"/>
      <x:c r="J18" s="315"/>
      <x:c r="K18" s="315"/>
    </x:row>
    <x:row r="19" ht="15" hidden="0" customHeight="1">
      <x:c r="A19" s="315"/>
      <x:c r="B19" s="315"/>
      <x:c r="C19" s="315"/>
      <x:c r="D19" s="315"/>
      <x:c r="E19" s="315"/>
      <x:c r="F19" s="315"/>
      <x:c r="G19" s="315"/>
      <x:c r="H19" s="315"/>
      <x:c r="I19" s="315"/>
      <x:c r="J19" s="315"/>
      <x:c r="K19" s="315"/>
    </x:row>
    <x:row r="20" ht="15" hidden="0" customHeight="1">
      <x:c r="A20" s="315"/>
      <x:c r="B20" s="315"/>
      <x:c r="C20" s="315"/>
      <x:c r="D20" s="315"/>
      <x:c r="E20" s="315"/>
      <x:c r="F20" s="315"/>
      <x:c r="G20" s="315"/>
      <x:c r="H20" s="315"/>
      <x:c r="I20" s="315"/>
      <x:c r="J20" s="315"/>
      <x:c r="K20" s="315"/>
    </x:row>
    <x:row r="21" ht="15" hidden="0" customHeight="1">
      <x:c r="A21" s="315"/>
      <x:c r="B21" s="315"/>
      <x:c r="C21" s="315"/>
      <x:c r="D21" s="315"/>
      <x:c r="E21" s="315"/>
      <x:c r="F21" s="315"/>
      <x:c r="G21" s="315"/>
      <x:c r="H21" s="315"/>
      <x:c r="I21" s="315"/>
      <x:c r="J21" s="315"/>
      <x:c r="K21" s="315"/>
    </x:row>
    <x:row r="22" ht="15" hidden="0" customHeight="1">
      <x:c r="A22" s="315"/>
      <x:c r="B22" s="315"/>
      <x:c r="C22" s="315"/>
      <x:c r="D22" s="315"/>
      <x:c r="E22" s="315"/>
      <x:c r="F22" s="315"/>
      <x:c r="G22" s="315"/>
      <x:c r="H22" s="315"/>
      <x:c r="I22" s="315"/>
      <x:c r="J22" s="315"/>
      <x:c r="K22" s="315"/>
    </x:row>
    <x:row r="23" ht="15" hidden="0" customHeight="1">
      <x:c r="A23" s="315"/>
      <x:c r="B23" s="315"/>
      <x:c r="C23" s="315"/>
      <x:c r="D23" s="315"/>
      <x:c r="E23" s="315"/>
      <x:c r="F23" s="315"/>
      <x:c r="G23" s="315"/>
      <x:c r="H23" s="315"/>
      <x:c r="I23" s="315"/>
      <x:c r="J23" s="315"/>
      <x:c r="K23" s="315"/>
    </x:row>
    <x:row r="24" ht="15" hidden="0" customHeight="1">
      <x:c r="A24" s="315"/>
      <x:c r="B24" s="315"/>
      <x:c r="C24" s="315"/>
      <x:c r="D24" s="315"/>
      <x:c r="E24" s="315"/>
      <x:c r="F24" s="315"/>
      <x:c r="G24" s="315"/>
      <x:c r="H24" s="315"/>
      <x:c r="I24" s="315"/>
      <x:c r="J24" s="315"/>
      <x:c r="K24" s="315"/>
    </x:row>
    <x:row r="25" ht="15" hidden="0" customHeight="1">
      <x:c r="A25" s="315"/>
      <x:c r="B25" s="315"/>
      <x:c r="C25" s="315"/>
      <x:c r="D25" s="315"/>
      <x:c r="E25" s="315"/>
      <x:c r="F25" s="315"/>
      <x:c r="G25" s="315"/>
      <x:c r="H25" s="315"/>
      <x:c r="I25" s="315"/>
      <x:c r="J25" s="315"/>
      <x:c r="K25" s="315"/>
    </x:row>
    <x:row r="26" ht="15" hidden="0" customHeight="1">
      <x:c r="A26" s="315"/>
      <x:c r="B26" s="315"/>
      <x:c r="C26" s="315"/>
      <x:c r="D26" s="315"/>
      <x:c r="E26" s="315"/>
      <x:c r="F26" s="315"/>
      <x:c r="G26" s="315"/>
      <x:c r="H26" s="315"/>
      <x:c r="I26" s="315"/>
      <x:c r="J26" s="315"/>
      <x:c r="K26" s="315"/>
    </x:row>
    <x:row r="27" ht="15" hidden="0" customHeight="1">
      <x:c r="A27" s="315"/>
      <x:c r="B27" s="315"/>
      <x:c r="C27" s="315"/>
      <x:c r="D27" s="315"/>
      <x:c r="E27" s="315"/>
      <x:c r="F27" s="315"/>
      <x:c r="G27" s="315"/>
      <x:c r="H27" s="315"/>
      <x:c r="I27" s="315"/>
      <x:c r="J27" s="315"/>
      <x:c r="K27" s="315"/>
    </x:row>
    <x:row r="28" ht="15" hidden="0" customHeight="1">
      <x:c r="A28" s="315"/>
      <x:c r="B28" s="315"/>
      <x:c r="C28" s="315"/>
      <x:c r="D28" s="315"/>
      <x:c r="E28" s="315"/>
      <x:c r="F28" s="315"/>
      <x:c r="G28" s="315"/>
      <x:c r="H28" s="315"/>
      <x:c r="I28" s="315"/>
      <x:c r="J28" s="315"/>
      <x:c r="K28" s="315"/>
    </x:row>
    <x:row r="29" ht="15" hidden="0" customHeight="1">
      <x:c r="A29" s="315"/>
      <x:c r="B29" s="315"/>
      <x:c r="C29" s="315"/>
      <x:c r="D29" s="315"/>
      <x:c r="E29" s="315"/>
      <x:c r="F29" s="315"/>
      <x:c r="G29" s="315"/>
      <x:c r="H29" s="315"/>
      <x:c r="I29" s="315"/>
      <x:c r="J29" s="315"/>
      <x:c r="K29" s="315"/>
    </x:row>
    <x:row r="30" ht="15" hidden="0" customHeight="1">
      <x:c r="A30" s="315"/>
      <x:c r="B30" s="315"/>
      <x:c r="C30" s="315"/>
      <x:c r="D30" s="315"/>
      <x:c r="E30" s="315"/>
      <x:c r="F30" s="315"/>
      <x:c r="G30" s="315"/>
      <x:c r="H30" s="315"/>
      <x:c r="I30" s="315"/>
      <x:c r="J30" s="315"/>
      <x:c r="K30" s="315"/>
    </x:row>
    <x:row r="31" ht="15" hidden="0" customHeight="1">
      <x:c r="A31" s="315"/>
      <x:c r="B31" s="315"/>
      <x:c r="C31" s="315"/>
      <x:c r="D31" s="315"/>
      <x:c r="E31" s="315"/>
      <x:c r="F31" s="315"/>
      <x:c r="G31" s="315"/>
      <x:c r="H31" s="315"/>
      <x:c r="I31" s="315"/>
      <x:c r="J31" s="315"/>
      <x:c r="K31" s="315"/>
    </x:row>
    <x:row r="32" ht="15" hidden="0" customHeight="1">
      <x:c r="A32" s="315"/>
      <x:c r="B32" s="315"/>
      <x:c r="C32" s="315"/>
      <x:c r="D32" s="315"/>
      <x:c r="E32" s="315"/>
      <x:c r="F32" s="315"/>
      <x:c r="G32" s="315"/>
      <x:c r="H32" s="315"/>
      <x:c r="I32" s="315"/>
      <x:c r="J32" s="315"/>
      <x:c r="K32" s="315"/>
    </x:row>
    <x:row r="33" ht="15" hidden="0" customHeight="1">
      <x:c r="A33" s="315"/>
      <x:c r="B33" s="315"/>
      <x:c r="C33" s="315"/>
      <x:c r="D33" s="315"/>
      <x:c r="E33" s="315"/>
      <x:c r="F33" s="315"/>
      <x:c r="G33" s="315"/>
      <x:c r="H33" s="315"/>
      <x:c r="I33" s="315"/>
      <x:c r="J33" s="315"/>
      <x:c r="K33" s="315"/>
    </x:row>
    <x:row r="34" ht="15" hidden="0" customHeight="1">
      <x:c r="A34" s="315"/>
      <x:c r="B34" s="315"/>
      <x:c r="C34" s="315"/>
      <x:c r="D34" s="315"/>
      <x:c r="E34" s="315"/>
      <x:c r="F34" s="315"/>
      <x:c r="G34" s="315"/>
      <x:c r="H34" s="315"/>
      <x:c r="I34" s="315"/>
      <x:c r="J34" s="315"/>
      <x:c r="K34" s="315"/>
    </x:row>
    <x:row r="35" ht="15" hidden="0" customHeight="1">
      <x:c r="A35" s="315"/>
      <x:c r="B35" s="315"/>
      <x:c r="C35" s="315"/>
      <x:c r="D35" s="315"/>
      <x:c r="E35" s="315"/>
      <x:c r="F35" s="315"/>
      <x:c r="G35" s="315"/>
      <x:c r="H35" s="315"/>
      <x:c r="I35" s="315"/>
      <x:c r="J35" s="315"/>
      <x:c r="K35" s="315"/>
    </x:row>
    <x:row r="36" ht="15" hidden="0" customHeight="1">
      <x:c r="A36" s="315"/>
      <x:c r="B36" s="315"/>
      <x:c r="C36" s="315"/>
      <x:c r="D36" s="315"/>
      <x:c r="E36" s="315"/>
      <x:c r="F36" s="315"/>
      <x:c r="G36" s="315"/>
      <x:c r="H36" s="315"/>
      <x:c r="I36" s="315"/>
      <x:c r="J36" s="315"/>
      <x:c r="K36" s="315"/>
    </x:row>
    <x:row r="37" ht="15" hidden="0" customHeight="1">
      <x:c r="A37" s="315"/>
      <x:c r="B37" s="315"/>
      <x:c r="C37" s="315"/>
      <x:c r="D37" s="315"/>
      <x:c r="E37" s="315"/>
      <x:c r="F37" s="315"/>
      <x:c r="G37" s="315"/>
      <x:c r="H37" s="315"/>
      <x:c r="I37" s="315"/>
      <x:c r="J37" s="315"/>
      <x:c r="K37" s="315"/>
    </x:row>
    <x:row r="38" ht="15" hidden="0" customHeight="1">
      <x:c r="A38" s="315"/>
      <x:c r="B38" s="315"/>
      <x:c r="C38" s="315"/>
      <x:c r="D38" s="315"/>
      <x:c r="E38" s="315"/>
      <x:c r="F38" s="315"/>
      <x:c r="G38" s="315"/>
      <x:c r="H38" s="315"/>
      <x:c r="I38" s="315"/>
      <x:c r="J38" s="315"/>
      <x:c r="K38" s="315"/>
    </x:row>
    <x:row r="39" ht="15" hidden="0" customHeight="1">
      <x:c r="A39" s="315"/>
      <x:c r="B39" s="315"/>
      <x:c r="C39" s="315"/>
      <x:c r="D39" s="315"/>
      <x:c r="E39" s="315"/>
      <x:c r="F39" s="315"/>
      <x:c r="G39" s="315"/>
      <x:c r="H39" s="315"/>
      <x:c r="I39" s="315"/>
      <x:c r="J39" s="315"/>
      <x:c r="K39" s="315"/>
    </x:row>
    <x:row r="40" ht="15" hidden="0" customHeight="1">
      <x:c r="A40" s="315"/>
      <x:c r="B40" s="315"/>
      <x:c r="C40" s="315"/>
      <x:c r="D40" s="315"/>
      <x:c r="E40" s="315"/>
      <x:c r="F40" s="315"/>
      <x:c r="G40" s="315"/>
      <x:c r="H40" s="315"/>
      <x:c r="I40" s="315"/>
      <x:c r="J40" s="315"/>
      <x:c r="K40" s="315"/>
    </x:row>
    <x:row r="41" ht="15" hidden="0" customHeight="1">
      <x:c r="A41" s="315"/>
      <x:c r="B41" s="315"/>
      <x:c r="C41" s="315"/>
      <x:c r="D41" s="315"/>
      <x:c r="E41" s="315"/>
      <x:c r="F41" s="315"/>
      <x:c r="G41" s="315"/>
      <x:c r="H41" s="315"/>
      <x:c r="I41" s="315"/>
      <x:c r="J41" s="315"/>
      <x:c r="K41" s="315"/>
    </x:row>
    <x:row r="42" ht="15" hidden="0" customHeight="1">
      <x:c r="A42" s="315"/>
      <x:c r="B42" s="315"/>
      <x:c r="C42" s="315"/>
      <x:c r="D42" s="315"/>
      <x:c r="E42" s="315"/>
      <x:c r="F42" s="315"/>
      <x:c r="G42" s="315"/>
      <x:c r="H42" s="315"/>
      <x:c r="I42" s="315"/>
      <x:c r="J42" s="315"/>
      <x:c r="K42" s="315"/>
    </x:row>
    <x:row r="43" ht="15" hidden="0" customHeight="1">
      <x:c r="A43" s="315"/>
      <x:c r="B43" s="315"/>
      <x:c r="C43" s="315"/>
      <x:c r="D43" s="315"/>
      <x:c r="E43" s="315"/>
      <x:c r="F43" s="315"/>
      <x:c r="G43" s="315"/>
      <x:c r="H43" s="315"/>
      <x:c r="I43" s="315"/>
      <x:c r="J43" s="315"/>
      <x:c r="K43" s="315"/>
    </x:row>
    <x:row r="44" ht="15" hidden="0" customHeight="1">
      <x:c r="A44" s="315"/>
      <x:c r="B44" s="315"/>
      <x:c r="C44" s="315"/>
      <x:c r="D44" s="315"/>
      <x:c r="E44" s="315"/>
      <x:c r="F44" s="315"/>
      <x:c r="G44" s="315"/>
      <x:c r="H44" s="315"/>
      <x:c r="I44" s="315"/>
      <x:c r="J44" s="315"/>
      <x:c r="K44" s="315"/>
    </x:row>
    <x:row r="45" ht="15" hidden="0" customHeight="1">
      <x:c r="A45" s="315"/>
      <x:c r="B45" s="315"/>
      <x:c r="C45" s="315"/>
      <x:c r="D45" s="315"/>
      <x:c r="E45" s="315"/>
      <x:c r="F45" s="315"/>
      <x:c r="G45" s="315"/>
      <x:c r="H45" s="315"/>
      <x:c r="I45" s="315"/>
      <x:c r="J45" s="315"/>
      <x:c r="K45" s="315"/>
    </x:row>
    <x:row r="46" ht="15" hidden="0" customHeight="1">
      <x:c r="A46" s="315"/>
      <x:c r="B46" s="315"/>
      <x:c r="C46" s="315"/>
      <x:c r="D46" s="315"/>
      <x:c r="E46" s="315"/>
      <x:c r="F46" s="315"/>
      <x:c r="G46" s="315"/>
      <x:c r="H46" s="315"/>
      <x:c r="I46" s="315"/>
      <x:c r="J46" s="315"/>
      <x:c r="K46" s="315"/>
    </x:row>
    <x:row r="47" ht="15" hidden="0" customHeight="1">
      <x:c r="A47" s="315"/>
      <x:c r="B47" s="315"/>
      <x:c r="C47" s="315"/>
      <x:c r="D47" s="315"/>
      <x:c r="E47" s="315"/>
      <x:c r="F47" s="315"/>
      <x:c r="G47" s="315"/>
      <x:c r="H47" s="315"/>
      <x:c r="I47" s="315"/>
      <x:c r="J47" s="315"/>
      <x:c r="K47" s="315"/>
    </x:row>
    <x:row r="48" ht="15" hidden="0" customHeight="1">
      <x:c r="A48" s="315"/>
      <x:c r="B48" s="315"/>
      <x:c r="C48" s="315"/>
      <x:c r="D48" s="315"/>
      <x:c r="E48" s="315"/>
      <x:c r="F48" s="315"/>
      <x:c r="G48" s="315"/>
      <x:c r="H48" s="315"/>
      <x:c r="I48" s="315"/>
      <x:c r="J48" s="315"/>
      <x:c r="K48" s="315"/>
    </x:row>
    <x:row r="49" ht="15" hidden="0" customHeight="1">
      <x:c r="A49" s="315"/>
      <x:c r="B49" s="315"/>
      <x:c r="C49" s="315"/>
      <x:c r="D49" s="315"/>
      <x:c r="E49" s="315"/>
      <x:c r="F49" s="315"/>
      <x:c r="G49" s="315"/>
      <x:c r="H49" s="315"/>
      <x:c r="I49" s="315"/>
      <x:c r="J49" s="315"/>
      <x:c r="K49" s="315"/>
    </x:row>
    <x:row r="50" ht="15" hidden="0" customHeight="1">
      <x:c r="A50" s="315"/>
      <x:c r="B50" s="315"/>
      <x:c r="C50" s="315"/>
      <x:c r="D50" s="315"/>
      <x:c r="E50" s="315"/>
      <x:c r="F50" s="315"/>
      <x:c r="G50" s="315"/>
      <x:c r="H50" s="315"/>
      <x:c r="I50" s="315"/>
      <x:c r="J50" s="315"/>
      <x:c r="K50" s="315"/>
    </x:row>
    <x:row r="51" ht="15" hidden="0" customHeight="1">
      <x:c r="A51" s="315"/>
      <x:c r="B51" s="315"/>
      <x:c r="C51" s="315"/>
      <x:c r="D51" s="315"/>
      <x:c r="E51" s="315"/>
      <x:c r="F51" s="315"/>
      <x:c r="G51" s="315"/>
      <x:c r="H51" s="315"/>
      <x:c r="I51" s="315"/>
      <x:c r="J51" s="315"/>
      <x:c r="K51" s="315"/>
    </x:row>
    <x:row r="52" ht="15" hidden="0" customHeight="1">
      <x:c r="A52" s="315"/>
      <x:c r="B52" s="315"/>
      <x:c r="C52" s="315"/>
      <x:c r="D52" s="315"/>
      <x:c r="E52" s="315"/>
      <x:c r="F52" s="315"/>
      <x:c r="G52" s="315"/>
      <x:c r="H52" s="315"/>
      <x:c r="I52" s="315"/>
      <x:c r="J52" s="315"/>
      <x:c r="K52" s="315"/>
    </x:row>
    <x:row r="53" ht="15" hidden="0" customHeight="1">
      <x:c r="A53" s="315"/>
      <x:c r="B53" s="315"/>
      <x:c r="C53" s="315"/>
      <x:c r="D53" s="315"/>
      <x:c r="E53" s="315"/>
      <x:c r="F53" s="315"/>
      <x:c r="G53" s="315"/>
      <x:c r="H53" s="315"/>
      <x:c r="I53" s="315"/>
      <x:c r="J53" s="315"/>
      <x:c r="K53" s="315"/>
    </x:row>
    <x:row r="54" ht="15" hidden="0" customHeight="1">
      <x:c r="A54" s="315"/>
      <x:c r="B54" s="315"/>
      <x:c r="C54" s="315"/>
      <x:c r="D54" s="315"/>
      <x:c r="E54" s="315"/>
      <x:c r="F54" s="315"/>
      <x:c r="G54" s="315"/>
      <x:c r="H54" s="315"/>
      <x:c r="I54" s="315"/>
      <x:c r="J54" s="315"/>
      <x:c r="K54" s="315"/>
    </x:row>
    <x:row r="55" ht="15" hidden="0" customHeight="1">
      <x:c r="A55" s="315"/>
      <x:c r="B55" s="315"/>
      <x:c r="C55" s="315"/>
      <x:c r="D55" s="315"/>
      <x:c r="E55" s="315"/>
      <x:c r="F55" s="315"/>
      <x:c r="G55" s="315"/>
      <x:c r="H55" s="315"/>
      <x:c r="I55" s="315"/>
      <x:c r="J55" s="315"/>
      <x:c r="K55" s="315"/>
    </x:row>
    <x:row r="56" ht="15" hidden="0" customHeight="1">
      <x:c r="A56" s="315"/>
      <x:c r="B56" s="315"/>
      <x:c r="C56" s="315"/>
      <x:c r="D56" s="315"/>
      <x:c r="E56" s="315"/>
      <x:c r="F56" s="315"/>
      <x:c r="G56" s="315"/>
      <x:c r="H56" s="315"/>
      <x:c r="I56" s="315"/>
      <x:c r="J56" s="315"/>
      <x:c r="K56" s="315"/>
    </x:row>
    <x:row r="57" ht="15" hidden="0" customHeight="1">
      <x:c r="A57" s="315"/>
      <x:c r="B57" s="315"/>
      <x:c r="C57" s="315"/>
      <x:c r="D57" s="315"/>
      <x:c r="E57" s="315"/>
      <x:c r="F57" s="315"/>
      <x:c r="G57" s="315"/>
      <x:c r="H57" s="315"/>
      <x:c r="I57" s="315"/>
      <x:c r="J57" s="315"/>
      <x:c r="K57" s="315"/>
    </x:row>
    <x:row r="58" ht="15" hidden="0" customHeight="1">
      <x:c r="A58" s="315"/>
      <x:c r="B58" s="315"/>
      <x:c r="C58" s="315"/>
      <x:c r="D58" s="315"/>
      <x:c r="E58" s="315"/>
      <x:c r="F58" s="315"/>
      <x:c r="G58" s="315"/>
      <x:c r="H58" s="315"/>
      <x:c r="I58" s="315"/>
      <x:c r="J58" s="315"/>
      <x:c r="K58" s="315"/>
    </x:row>
    <x:row r="59" ht="15" hidden="0" customHeight="1">
      <x:c r="A59" s="315"/>
      <x:c r="B59" s="315"/>
      <x:c r="C59" s="315"/>
      <x:c r="D59" s="315"/>
      <x:c r="E59" s="315"/>
      <x:c r="F59" s="315"/>
      <x:c r="G59" s="315"/>
      <x:c r="H59" s="315"/>
      <x:c r="I59" s="315"/>
      <x:c r="J59" s="315"/>
      <x:c r="K59" s="315"/>
    </x:row>
    <x:row r="60" ht="15" hidden="0" customHeight="1">
      <x:c r="A60" s="315"/>
      <x:c r="B60" s="315"/>
      <x:c r="C60" s="315"/>
      <x:c r="D60" s="315"/>
      <x:c r="E60" s="315"/>
      <x:c r="F60" s="315"/>
      <x:c r="G60" s="315"/>
      <x:c r="H60" s="315"/>
      <x:c r="I60" s="315"/>
      <x:c r="J60" s="315"/>
      <x:c r="K60" s="315"/>
    </x:row>
    <x:row r="61" ht="15" hidden="0" customHeight="1">
      <x:c r="A61" s="315"/>
      <x:c r="B61" s="315"/>
      <x:c r="C61" s="315"/>
      <x:c r="D61" s="315"/>
      <x:c r="E61" s="315"/>
      <x:c r="F61" s="315"/>
      <x:c r="G61" s="315"/>
      <x:c r="H61" s="315"/>
      <x:c r="I61" s="315"/>
      <x:c r="J61" s="315"/>
      <x:c r="K61" s="315"/>
    </x:row>
    <x:row r="62" ht="15" hidden="0" customHeight="1">
      <x:c r="A62" s="315"/>
      <x:c r="B62" s="315"/>
      <x:c r="C62" s="315"/>
      <x:c r="D62" s="315"/>
      <x:c r="E62" s="315"/>
      <x:c r="F62" s="315"/>
      <x:c r="G62" s="315"/>
      <x:c r="H62" s="315"/>
      <x:c r="I62" s="315"/>
      <x:c r="J62" s="315"/>
      <x:c r="K62" s="315"/>
    </x:row>
    <x:row r="63" ht="15" hidden="0" customHeight="1">
      <x:c r="A63" s="315"/>
      <x:c r="B63" s="315"/>
      <x:c r="C63" s="315"/>
      <x:c r="D63" s="315"/>
      <x:c r="E63" s="315"/>
      <x:c r="F63" s="315"/>
      <x:c r="G63" s="315"/>
      <x:c r="H63" s="315"/>
      <x:c r="I63" s="315"/>
      <x:c r="J63" s="315"/>
      <x:c r="K63" s="315"/>
    </x:row>
    <x:row r="64" ht="15" hidden="0" customHeight="1">
      <x:c r="A64" s="315"/>
      <x:c r="B64" s="315"/>
      <x:c r="C64" s="315"/>
      <x:c r="D64" s="315"/>
      <x:c r="E64" s="315"/>
      <x:c r="F64" s="315"/>
      <x:c r="G64" s="315"/>
      <x:c r="H64" s="315"/>
      <x:c r="I64" s="315"/>
      <x:c r="J64" s="315"/>
      <x:c r="K64" s="315"/>
    </x:row>
    <x:row r="65" ht="15" hidden="0" customHeight="1">
      <x:c r="A65" s="315"/>
      <x:c r="B65" s="315"/>
      <x:c r="C65" s="315"/>
      <x:c r="D65" s="315"/>
      <x:c r="E65" s="315"/>
      <x:c r="F65" s="315"/>
      <x:c r="G65" s="315"/>
      <x:c r="H65" s="315"/>
      <x:c r="I65" s="315"/>
      <x:c r="J65" s="315"/>
      <x:c r="K65" s="315"/>
    </x:row>
    <x:row r="66" ht="15" hidden="0" customHeight="1">
      <x:c r="A66" s="315"/>
      <x:c r="B66" s="315"/>
      <x:c r="C66" s="315"/>
      <x:c r="D66" s="315"/>
      <x:c r="E66" s="315"/>
      <x:c r="F66" s="315"/>
      <x:c r="G66" s="315"/>
      <x:c r="H66" s="315"/>
      <x:c r="I66" s="315"/>
      <x:c r="J66" s="315"/>
      <x:c r="K66" s="315"/>
    </x:row>
    <x:row r="67" ht="15" hidden="0" customHeight="1">
      <x:c r="A67" s="315"/>
      <x:c r="B67" s="315"/>
      <x:c r="C67" s="315"/>
      <x:c r="D67" s="315"/>
      <x:c r="E67" s="315"/>
      <x:c r="F67" s="315"/>
      <x:c r="G67" s="315"/>
      <x:c r="H67" s="315"/>
      <x:c r="I67" s="315"/>
      <x:c r="J67" s="315"/>
      <x:c r="K67" s="315"/>
    </x:row>
    <x:row r="68" ht="15" hidden="0" customHeight="1">
      <x:c r="A68" s="315"/>
      <x:c r="B68" s="315"/>
      <x:c r="C68" s="315"/>
      <x:c r="D68" s="315"/>
      <x:c r="E68" s="315"/>
      <x:c r="F68" s="315"/>
      <x:c r="G68" s="315"/>
      <x:c r="H68" s="315"/>
      <x:c r="I68" s="315"/>
      <x:c r="J68" s="315"/>
      <x:c r="K68" s="315"/>
    </x:row>
    <x:row r="69" ht="15" hidden="0" customHeight="1">
      <x:c r="A69" s="315"/>
      <x:c r="B69" s="315"/>
      <x:c r="C69" s="315"/>
      <x:c r="D69" s="315"/>
      <x:c r="E69" s="315"/>
      <x:c r="F69" s="315"/>
      <x:c r="G69" s="315"/>
      <x:c r="H69" s="315"/>
      <x:c r="I69" s="315"/>
      <x:c r="J69" s="315"/>
      <x:c r="K69" s="315"/>
    </x:row>
    <x:row r="70" ht="15" hidden="0" customHeight="1">
      <x:c r="A70" s="315"/>
      <x:c r="B70" s="315"/>
      <x:c r="C70" s="315"/>
      <x:c r="D70" s="315"/>
      <x:c r="E70" s="315"/>
      <x:c r="F70" s="315"/>
      <x:c r="G70" s="315"/>
      <x:c r="H70" s="315"/>
      <x:c r="I70" s="315"/>
      <x:c r="J70" s="315"/>
      <x:c r="K70" s="315"/>
    </x:row>
    <x:row r="71" ht="15" hidden="0" customHeight="1">
      <x:c r="A71" s="315"/>
      <x:c r="B71" s="315"/>
      <x:c r="C71" s="315"/>
      <x:c r="D71" s="315"/>
      <x:c r="E71" s="315"/>
      <x:c r="F71" s="315"/>
      <x:c r="G71" s="315"/>
      <x:c r="H71" s="315"/>
      <x:c r="I71" s="315"/>
      <x:c r="J71" s="315"/>
      <x:c r="K71" s="315"/>
    </x:row>
    <x:row r="72" ht="15" hidden="0" customHeight="1">
      <x:c r="A72" s="315"/>
      <x:c r="B72" s="315"/>
      <x:c r="C72" s="315"/>
      <x:c r="D72" s="315"/>
      <x:c r="E72" s="315"/>
      <x:c r="F72" s="315"/>
      <x:c r="G72" s="315"/>
      <x:c r="H72" s="315"/>
      <x:c r="I72" s="315"/>
      <x:c r="J72" s="315"/>
      <x:c r="K72" s="315"/>
    </x:row>
    <x:row r="73" ht="15" hidden="0" customHeight="1">
      <x:c r="A73" s="315"/>
      <x:c r="B73" s="315"/>
      <x:c r="C73" s="315"/>
      <x:c r="D73" s="315"/>
      <x:c r="E73" s="315"/>
      <x:c r="F73" s="315"/>
      <x:c r="G73" s="315"/>
      <x:c r="H73" s="315"/>
      <x:c r="I73" s="315"/>
      <x:c r="J73" s="315"/>
      <x:c r="K73" s="315"/>
    </x:row>
    <x:row r="74" ht="15" hidden="0" customHeight="1">
      <x:c r="A74" s="315"/>
      <x:c r="B74" s="315"/>
      <x:c r="C74" s="315"/>
      <x:c r="D74" s="315"/>
      <x:c r="E74" s="315"/>
      <x:c r="F74" s="315"/>
      <x:c r="G74" s="315"/>
      <x:c r="H74" s="315"/>
      <x:c r="I74" s="315"/>
      <x:c r="J74" s="315"/>
      <x:c r="K74" s="315"/>
    </x:row>
    <x:row r="75" ht="15" hidden="0" customHeight="1">
      <x:c r="A75" s="315"/>
      <x:c r="B75" s="315"/>
      <x:c r="C75" s="315"/>
      <x:c r="D75" s="315"/>
      <x:c r="E75" s="315"/>
      <x:c r="F75" s="315"/>
      <x:c r="G75" s="315"/>
      <x:c r="H75" s="315"/>
      <x:c r="I75" s="315"/>
      <x:c r="J75" s="315"/>
      <x:c r="K75" s="315"/>
    </x:row>
    <x:row r="76" ht="15" hidden="0" customHeight="1">
      <x:c r="A76" s="315"/>
      <x:c r="B76" s="315"/>
      <x:c r="C76" s="315"/>
      <x:c r="D76" s="315"/>
      <x:c r="E76" s="315"/>
      <x:c r="F76" s="315"/>
      <x:c r="G76" s="315"/>
      <x:c r="H76" s="315"/>
      <x:c r="I76" s="315"/>
      <x:c r="J76" s="315"/>
      <x:c r="K76" s="315"/>
    </x:row>
    <x:row r="77" ht="15" hidden="0" customHeight="1">
      <x:c r="A77" s="315"/>
      <x:c r="B77" s="315"/>
      <x:c r="C77" s="315"/>
      <x:c r="D77" s="315"/>
      <x:c r="E77" s="315"/>
      <x:c r="F77" s="315"/>
      <x:c r="G77" s="315"/>
      <x:c r="H77" s="315"/>
      <x:c r="I77" s="315"/>
      <x:c r="J77" s="315"/>
      <x:c r="K77" s="315"/>
    </x:row>
    <x:row r="78" ht="15" hidden="0" customHeight="1">
      <x:c r="A78" s="315"/>
      <x:c r="B78" s="315"/>
      <x:c r="C78" s="315"/>
      <x:c r="D78" s="315"/>
      <x:c r="E78" s="315"/>
      <x:c r="F78" s="315"/>
      <x:c r="G78" s="315"/>
      <x:c r="H78" s="315"/>
      <x:c r="I78" s="315"/>
      <x:c r="J78" s="315"/>
      <x:c r="K78" s="315"/>
    </x:row>
    <x:row r="79" ht="15" hidden="0" customHeight="1">
      <x:c r="A79" s="315"/>
      <x:c r="B79" s="315"/>
      <x:c r="C79" s="315"/>
      <x:c r="D79" s="315"/>
      <x:c r="E79" s="315"/>
      <x:c r="F79" s="315"/>
      <x:c r="G79" s="315"/>
      <x:c r="H79" s="315"/>
      <x:c r="I79" s="315"/>
      <x:c r="J79" s="315"/>
      <x:c r="K79" s="315"/>
    </x:row>
    <x:row r="80" ht="15" hidden="0" customHeight="1">
      <x:c r="A80" s="315"/>
      <x:c r="B80" s="315"/>
      <x:c r="C80" s="315"/>
      <x:c r="D80" s="315"/>
      <x:c r="E80" s="315"/>
      <x:c r="F80" s="315"/>
      <x:c r="G80" s="315"/>
      <x:c r="H80" s="315"/>
      <x:c r="I80" s="315"/>
      <x:c r="J80" s="315"/>
      <x:c r="K80" s="315"/>
    </x:row>
  </x:sheetData>
  <x:mergeCells>
    <x:mergeCell ref="A1:F1"/>
    <x:mergeCell ref="A2:F2"/>
    <x:mergeCell ref="A4:F4"/>
    <x:mergeCell ref="A12:F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4" hidden="0" customWidth="1"/>
  </x:cols>
  <x:sheetData>
    <x:row r="1" ht="28" customHeight="1">
      <x:c r="A1" s="912" t="str">
        <x:v>Expense Categories</x:v>
      </x:c>
      <x:c r="B1" s="912" t="str">
        <x:v>Income Categories</x:v>
      </x:c>
      <x:c r="C1" s="912" t="str">
        <x:v>Expense Type</x:v>
      </x:c>
    </x:row>
    <x:row r="2">
      <x:c r="A2" s="913" t="str">
        <x:v>Housing</x:v>
      </x:c>
      <x:c r="B2" s="913" t="str">
        <x:v>Salary</x:v>
      </x:c>
      <x:c r="C2" s="913" t="str">
        <x:v>Essential</x:v>
      </x:c>
    </x:row>
    <x:row r="3">
      <x:c r="A3" s="913" t="str">
        <x:v>Food</x:v>
      </x:c>
      <x:c r="B3" s="913" t="str">
        <x:v>Freelance</x:v>
      </x:c>
      <x:c r="C3" s="913" t="str">
        <x:v>Optional</x:v>
      </x:c>
    </x:row>
    <x:row r="4">
      <x:c r="A4" s="913" t="str">
        <x:v>Transport</x:v>
      </x:c>
      <x:c r="B4" s="913" t="str">
        <x:v>Business</x:v>
      </x:c>
      <x:c r="C4" s="913"/>
    </x:row>
    <x:row r="5">
      <x:c r="A5" s="913" t="str">
        <x:v>Utilities</x:v>
      </x:c>
      <x:c r="B5" s="913" t="str">
        <x:v>Investment</x:v>
      </x:c>
      <x:c r="C5" s="913"/>
    </x:row>
    <x:row r="6">
      <x:c r="A6" s="913" t="str">
        <x:v>Subscriptions</x:v>
      </x:c>
      <x:c r="B6" s="913" t="str">
        <x:v>Other</x:v>
      </x:c>
      <x:c r="C6" s="913"/>
    </x:row>
    <x:row r="7">
      <x:c r="A7" s="913" t="str">
        <x:v>Health</x:v>
      </x:c>
      <x:c r="B7" s="913"/>
      <x:c r="C7" s="913"/>
    </x:row>
    <x:row r="8">
      <x:c r="A8" s="913" t="str">
        <x:v>Education</x:v>
      </x:c>
      <x:c r="B8" s="913"/>
      <x:c r="C8" s="913"/>
    </x:row>
    <x:row r="9">
      <x:c r="A9" s="913" t="str">
        <x:v>Entertainment</x:v>
      </x:c>
      <x:c r="B9" s="913"/>
      <x:c r="C9" s="913"/>
    </x:row>
    <x:row r="10">
      <x:c r="A10" s="913" t="str">
        <x:v>Shopping</x:v>
      </x:c>
      <x:c r="B10" s="913"/>
      <x:c r="C10" s="913"/>
    </x:row>
    <x:row r="11">
      <x:c r="A11" s="913" t="str">
        <x:v>Other</x:v>
      </x:c>
      <x:c r="B11" s="913"/>
      <x:c r="C11" s="913"/>
    </x:row>
  </x:sheetData>
  <x:pageMargins left="0.7" right="0.7" top="0.75" bottom="0.75" header="0.3" footer="0.3"/>
</x:worksheet>
</file>